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G:\Portfolio\Excel\"/>
    </mc:Choice>
  </mc:AlternateContent>
  <xr:revisionPtr revIDLastSave="0" documentId="8_{5CE06AA1-865B-4A25-90A6-97A4C40BA259}" xr6:coauthVersionLast="47" xr6:coauthVersionMax="47" xr10:uidLastSave="{00000000-0000-0000-0000-000000000000}"/>
  <bookViews>
    <workbookView xWindow="-120" yWindow="-120" windowWidth="24240" windowHeight="13740" xr2:uid="{00000000-000D-0000-FFFF-FFFF00000000}"/>
  </bookViews>
  <sheets>
    <sheet name="Grading" sheetId="7" r:id="rId1"/>
    <sheet name="Student Grades" sheetId="1" r:id="rId2"/>
    <sheet name="Music Collection" sheetId="2" r:id="rId3"/>
    <sheet name="Macro" sheetId="3" r:id="rId4"/>
    <sheet name="Macro Test" sheetId="6" r:id="rId5"/>
    <sheet name="Home Inventory" sheetId="4" r:id="rId6"/>
    <sheet name="Gull Corporation" sheetId="5" r:id="rId7"/>
  </sheets>
  <externalReferences>
    <externalReference r:id="rId8"/>
  </externalReferences>
  <definedNames>
    <definedName name="ExternalData_1" localSheetId="2" hidden="1">'Music Collection'!$A$2:$E$13</definedName>
    <definedName name="MonthlySalesQ1" localSheetId="4">#REF!</definedName>
    <definedName name="MonthlySalesQ1">#REF!</definedName>
    <definedName name="SellingPrices">[1]Functions!$C$4:$C$10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38" i="4" l="1"/>
  <c r="C34" i="4"/>
  <c r="C25" i="4"/>
  <c r="C13" i="4"/>
  <c r="C7" i="4"/>
  <c r="C39" i="4" s="1"/>
  <c r="A33" i="7"/>
  <c r="B33" i="7" l="1"/>
  <c r="A34" i="7" l="1"/>
  <c r="D11" i="6"/>
  <c r="C11" i="6"/>
  <c r="B11" i="6"/>
  <c r="E35" i="4" l="1"/>
  <c r="E36" i="4"/>
  <c r="E37" i="4"/>
  <c r="E3" i="4"/>
  <c r="E5" i="4"/>
  <c r="E6" i="4"/>
  <c r="E4" i="4"/>
  <c r="E9" i="4"/>
  <c r="E12" i="4"/>
  <c r="E10" i="4"/>
  <c r="E11" i="4"/>
  <c r="E8" i="4"/>
  <c r="E33" i="4"/>
  <c r="E32" i="4"/>
  <c r="E31" i="4"/>
  <c r="E30" i="4"/>
  <c r="E29" i="4"/>
  <c r="E28" i="4"/>
  <c r="E26" i="4"/>
  <c r="E27" i="4"/>
  <c r="E14" i="4"/>
  <c r="E23" i="4"/>
  <c r="E19" i="4"/>
  <c r="E22" i="4"/>
  <c r="E18" i="4"/>
  <c r="E20" i="4"/>
  <c r="E15" i="4"/>
  <c r="E21" i="4"/>
  <c r="E17" i="4"/>
  <c r="E24" i="4"/>
  <c r="E16" i="4"/>
  <c r="E13" i="4" l="1"/>
  <c r="E34" i="4"/>
  <c r="E7" i="4"/>
  <c r="E25" i="4"/>
  <c r="E38" i="4"/>
  <c r="D11" i="3"/>
  <c r="C11" i="3"/>
  <c r="B11" i="3"/>
  <c r="E39" i="4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7EA28FE-1059-4144-A798-DF6144097EA4}" keepAlive="1" name="Query - MusicCollection" description="Connection to the 'MusicCollection' query in the workbook." type="5" refreshedVersion="0" background="1">
    <dbPr connection="Provider=Microsoft.Mashup.OleDb.1;Data Source=$Workbook$;Location=MusicCollection;Extended Properties=&quot;&quot;" command="SELECT * FROM [MusicCollection]"/>
  </connection>
  <connection id="2" xr16:uid="{DE0698B7-7CDD-42E0-B2FF-14206D0480F1}" keepAlive="1" name="Query - MusicCollection (2)" description="Connection to the 'MusicCollection (2)' query in the workbook." type="5" refreshedVersion="7" background="1" saveData="1">
    <dbPr connection="Provider=Microsoft.Mashup.OleDb.1;Data Source=$Workbook$;Location=&quot;MusicCollection (2)&quot;;Extended Properties=&quot;&quot;" command="SELECT * FROM [MusicCollection (2)]"/>
  </connection>
</connections>
</file>

<file path=xl/sharedStrings.xml><?xml version="1.0" encoding="utf-8"?>
<sst xmlns="http://schemas.openxmlformats.org/spreadsheetml/2006/main" count="212" uniqueCount="159">
  <si>
    <t>Student Name</t>
  </si>
  <si>
    <t>Course</t>
  </si>
  <si>
    <t>Last</t>
  </si>
  <si>
    <t>First</t>
  </si>
  <si>
    <t>Math</t>
  </si>
  <si>
    <t>English</t>
  </si>
  <si>
    <t>Excel</t>
  </si>
  <si>
    <t>Physics</t>
  </si>
  <si>
    <t>Chemistry</t>
  </si>
  <si>
    <t>Carrey</t>
  </si>
  <si>
    <t>Jim</t>
  </si>
  <si>
    <t>Gosling</t>
  </si>
  <si>
    <t>Ryan</t>
  </si>
  <si>
    <t>McAdams</t>
  </si>
  <si>
    <t>Rachel</t>
  </si>
  <si>
    <t>Meyers</t>
  </si>
  <si>
    <t>Mike</t>
  </si>
  <si>
    <t>Reeves</t>
  </si>
  <si>
    <t>Keanu</t>
  </si>
  <si>
    <t>Reynolds</t>
  </si>
  <si>
    <t>Shatner</t>
  </si>
  <si>
    <t>William</t>
  </si>
  <si>
    <t>Music Collection</t>
  </si>
  <si>
    <t>We're Pretty Good Trucking Inc.</t>
  </si>
  <si>
    <t>First Quarter Sales</t>
  </si>
  <si>
    <t>Customer</t>
  </si>
  <si>
    <t>January</t>
  </si>
  <si>
    <t>February</t>
  </si>
  <si>
    <t>March</t>
  </si>
  <si>
    <t>Acme Organic Apple Orchards</t>
  </si>
  <si>
    <t>The Dairy Emporium</t>
  </si>
  <si>
    <t>Put'em Down Animal Rendering</t>
  </si>
  <si>
    <t>Only the Lonely Perfumes Inc.</t>
  </si>
  <si>
    <t>Atomic Energy Limited (Nuclear Waste Disposal Division)</t>
  </si>
  <si>
    <t>Get Well Soon Pharmaceuticals</t>
  </si>
  <si>
    <t>Total</t>
  </si>
  <si>
    <t>"We do it all with just one truck!"</t>
  </si>
  <si>
    <t xml:space="preserve">Home Inventory for Insurance </t>
  </si>
  <si>
    <t>Room</t>
  </si>
  <si>
    <t>Item</t>
  </si>
  <si>
    <t>Qty</t>
  </si>
  <si>
    <t>Value</t>
  </si>
  <si>
    <t>Kitchen</t>
  </si>
  <si>
    <t>Cutlery Set</t>
  </si>
  <si>
    <t>Toaster</t>
  </si>
  <si>
    <t>Frying Pan</t>
  </si>
  <si>
    <t>Pots and Pans</t>
  </si>
  <si>
    <t>Cups</t>
  </si>
  <si>
    <t>Plates</t>
  </si>
  <si>
    <t>Glasses</t>
  </si>
  <si>
    <t>Refrigerator</t>
  </si>
  <si>
    <t>Oven</t>
  </si>
  <si>
    <t>Table</t>
  </si>
  <si>
    <t>Chair</t>
  </si>
  <si>
    <t>Living Room</t>
  </si>
  <si>
    <t>Couch</t>
  </si>
  <si>
    <t>End Table</t>
  </si>
  <si>
    <t>Knick Knacks</t>
  </si>
  <si>
    <t>Piano</t>
  </si>
  <si>
    <t>Television</t>
  </si>
  <si>
    <t>Video Game Player</t>
  </si>
  <si>
    <t>Video Games</t>
  </si>
  <si>
    <t>Bedroom</t>
  </si>
  <si>
    <t>Bed</t>
  </si>
  <si>
    <t>Desk</t>
  </si>
  <si>
    <t>Computer</t>
  </si>
  <si>
    <t>Lamp</t>
  </si>
  <si>
    <t>Clock</t>
  </si>
  <si>
    <t>Linen</t>
  </si>
  <si>
    <t>Razor</t>
  </si>
  <si>
    <t>Mirror</t>
  </si>
  <si>
    <t>Hair Dryer</t>
  </si>
  <si>
    <t>Miscellaneous</t>
  </si>
  <si>
    <t>Vacuum Cleaner</t>
  </si>
  <si>
    <t>Tools</t>
  </si>
  <si>
    <t>Books</t>
  </si>
  <si>
    <t>Page</t>
  </si>
  <si>
    <t>O'Hara</t>
  </si>
  <si>
    <t>Catherine</t>
  </si>
  <si>
    <t>Grade</t>
  </si>
  <si>
    <t>Available</t>
  </si>
  <si>
    <r>
      <rPr>
        <b/>
        <sz val="10"/>
        <color rgb="FF0070C0"/>
        <rFont val="Calibri"/>
        <family val="2"/>
      </rPr>
      <t>Student Grades</t>
    </r>
    <r>
      <rPr>
        <b/>
        <sz val="10"/>
        <color theme="1"/>
        <rFont val="Calibri"/>
        <family val="2"/>
      </rPr>
      <t xml:space="preserve"> worksheet</t>
    </r>
  </si>
  <si>
    <r>
      <rPr>
        <b/>
        <sz val="10"/>
        <color rgb="FF0070C0"/>
        <rFont val="Calibri"/>
        <family val="2"/>
      </rPr>
      <t>Music Collection</t>
    </r>
    <r>
      <rPr>
        <b/>
        <sz val="10"/>
        <color theme="1"/>
        <rFont val="Calibri"/>
        <family val="2"/>
      </rPr>
      <t xml:space="preserve"> worksheet</t>
    </r>
  </si>
  <si>
    <r>
      <rPr>
        <b/>
        <sz val="10"/>
        <color rgb="FF0070C0"/>
        <rFont val="Calibri"/>
        <family val="2"/>
      </rPr>
      <t>Macro</t>
    </r>
    <r>
      <rPr>
        <b/>
        <sz val="10"/>
        <color theme="1"/>
        <rFont val="Calibri"/>
        <family val="2"/>
      </rPr>
      <t xml:space="preserve"> worksheet</t>
    </r>
  </si>
  <si>
    <r>
      <rPr>
        <b/>
        <sz val="10"/>
        <color rgb="FF0070C0"/>
        <rFont val="Calibri"/>
        <family val="2"/>
      </rPr>
      <t>Macro Test</t>
    </r>
    <r>
      <rPr>
        <b/>
        <sz val="10"/>
        <color theme="1"/>
        <rFont val="Calibri"/>
        <family val="2"/>
      </rPr>
      <t xml:space="preserve"> worksheet</t>
    </r>
  </si>
  <si>
    <r>
      <rPr>
        <b/>
        <sz val="10"/>
        <color rgb="FF0070C0"/>
        <rFont val="Calibri"/>
        <family val="2"/>
      </rPr>
      <t>Home Inventory</t>
    </r>
    <r>
      <rPr>
        <b/>
        <sz val="10"/>
        <color theme="1"/>
        <rFont val="Calibri"/>
        <family val="2"/>
      </rPr>
      <t xml:space="preserve"> worksheet</t>
    </r>
  </si>
  <si>
    <r>
      <rPr>
        <b/>
        <sz val="10"/>
        <color rgb="FF0070C0"/>
        <rFont val="Calibri"/>
        <family val="2"/>
      </rPr>
      <t>Gull Corporation</t>
    </r>
    <r>
      <rPr>
        <b/>
        <sz val="10"/>
        <color theme="1"/>
        <rFont val="Calibri"/>
        <family val="2"/>
      </rPr>
      <t xml:space="preserve"> worksheet</t>
    </r>
  </si>
  <si>
    <t>11. Adjust the outline level so that only the room totals and grand total are displayed.</t>
  </si>
  <si>
    <t>19. Place the WordArt so that it is just covering the seagull's feet (approximately).</t>
  </si>
  <si>
    <t>25. Turn off display of the gridlines.</t>
  </si>
  <si>
    <t>Bathroom</t>
  </si>
  <si>
    <r>
      <t xml:space="preserve">1. Open the </t>
    </r>
    <r>
      <rPr>
        <b/>
        <sz val="10"/>
        <color theme="1"/>
        <rFont val="Calibri"/>
        <family val="2"/>
      </rPr>
      <t>Assignment 4_Document</t>
    </r>
    <r>
      <rPr>
        <sz val="10"/>
        <color theme="1"/>
        <rFont val="Calibri"/>
        <family val="2"/>
      </rPr>
      <t xml:space="preserve"> file in Excel. In the File tab, save the file as an </t>
    </r>
    <r>
      <rPr>
        <b/>
        <sz val="10"/>
        <color theme="1"/>
        <rFont val="Calibri"/>
        <family val="2"/>
      </rPr>
      <t>Excel Macro-Enabled Workbook</t>
    </r>
    <r>
      <rPr>
        <sz val="10"/>
        <color theme="1"/>
        <rFont val="Calibri"/>
        <family val="2"/>
      </rPr>
      <t xml:space="preserve">, with the name </t>
    </r>
    <r>
      <rPr>
        <b/>
        <sz val="10"/>
        <color theme="1"/>
        <rFont val="Calibri"/>
        <family val="2"/>
      </rPr>
      <t>Firstname_Lastname_Assignment4</t>
    </r>
    <r>
      <rPr>
        <sz val="10"/>
        <color theme="1"/>
        <rFont val="Calibri"/>
        <family val="2"/>
      </rPr>
      <t xml:space="preserve">, where </t>
    </r>
    <r>
      <rPr>
        <b/>
        <sz val="10"/>
        <color theme="1"/>
        <rFont val="Calibri"/>
        <family val="2"/>
      </rPr>
      <t>Firstname</t>
    </r>
    <r>
      <rPr>
        <sz val="10"/>
        <color theme="1"/>
        <rFont val="Calibri"/>
        <family val="2"/>
      </rPr>
      <t xml:space="preserve"> and </t>
    </r>
    <r>
      <rPr>
        <b/>
        <sz val="10"/>
        <color theme="1"/>
        <rFont val="Calibri"/>
        <family val="2"/>
      </rPr>
      <t>Lastname</t>
    </r>
    <r>
      <rPr>
        <sz val="10"/>
        <color theme="1"/>
        <rFont val="Calibri"/>
        <family val="2"/>
      </rPr>
      <t xml:space="preserve"> are replaced with your first and last names. Note that when you save a workbook as an Excel Macro-Enabled workbook, the file extension will be </t>
    </r>
    <r>
      <rPr>
        <b/>
        <sz val="10"/>
        <color theme="1"/>
        <rFont val="Calibri"/>
        <family val="2"/>
      </rPr>
      <t>xlsm</t>
    </r>
    <r>
      <rPr>
        <sz val="10"/>
        <color theme="1"/>
        <rFont val="Calibri"/>
        <family val="2"/>
      </rPr>
      <t xml:space="preserve">, rather than </t>
    </r>
    <r>
      <rPr>
        <b/>
        <sz val="10"/>
        <color theme="1"/>
        <rFont val="Calibri"/>
        <family val="2"/>
      </rPr>
      <t>xlsx</t>
    </r>
    <r>
      <rPr>
        <sz val="10"/>
        <color theme="1"/>
        <rFont val="Calibri"/>
        <family val="2"/>
      </rPr>
      <t xml:space="preserve">.
</t>
    </r>
    <r>
      <rPr>
        <b/>
        <u/>
        <sz val="10"/>
        <color theme="1"/>
        <rFont val="Calibri"/>
        <family val="2"/>
      </rPr>
      <t>Note that if you do not save your workbook in this format, then the macro you will be completing in steps 6, 7, and 8 will not be included in your assignment and therefore cannot be graded, resulting in a 0 for these steps.</t>
    </r>
  </si>
  <si>
    <r>
      <t xml:space="preserve">2. Apply data validation over the cell range </t>
    </r>
    <r>
      <rPr>
        <b/>
        <sz val="10"/>
        <color theme="1"/>
        <rFont val="Calibri"/>
        <family val="2"/>
      </rPr>
      <t>C3 through G11</t>
    </r>
    <r>
      <rPr>
        <sz val="10"/>
        <color theme="1"/>
        <rFont val="Calibri"/>
        <family val="2"/>
      </rPr>
      <t xml:space="preserve"> that allows only </t>
    </r>
    <r>
      <rPr>
        <b/>
        <sz val="10"/>
        <color theme="1"/>
        <rFont val="Calibri"/>
        <family val="2"/>
      </rPr>
      <t>decimal numbers</t>
    </r>
    <r>
      <rPr>
        <sz val="10"/>
        <color theme="1"/>
        <rFont val="Calibri"/>
        <family val="2"/>
      </rPr>
      <t xml:space="preserve"> in the range </t>
    </r>
    <r>
      <rPr>
        <b/>
        <sz val="10"/>
        <color theme="1"/>
        <rFont val="Calibri"/>
        <family val="2"/>
      </rPr>
      <t>0 through 1</t>
    </r>
    <r>
      <rPr>
        <sz val="10"/>
        <color theme="1"/>
        <rFont val="Calibri"/>
        <family val="2"/>
      </rPr>
      <t xml:space="preserve"> to be entered. Note that 1 represents 100%. The data validation must include the input message </t>
    </r>
    <r>
      <rPr>
        <b/>
        <sz val="10"/>
        <color theme="1"/>
        <rFont val="Calibri"/>
        <family val="2"/>
      </rPr>
      <t>Enter student grade</t>
    </r>
    <r>
      <rPr>
        <sz val="10"/>
        <color theme="1"/>
        <rFont val="Calibri"/>
        <family val="2"/>
      </rPr>
      <t xml:space="preserve">. Additionally, set an error alert of style </t>
    </r>
    <r>
      <rPr>
        <b/>
        <sz val="10"/>
        <color theme="1"/>
        <rFont val="Calibri"/>
        <family val="2"/>
      </rPr>
      <t>Stop</t>
    </r>
    <r>
      <rPr>
        <sz val="10"/>
        <color theme="1"/>
        <rFont val="Calibri"/>
        <family val="2"/>
      </rPr>
      <t xml:space="preserve">, with the error message </t>
    </r>
    <r>
      <rPr>
        <b/>
        <sz val="10"/>
        <color theme="1"/>
        <rFont val="Calibri"/>
        <family val="2"/>
      </rPr>
      <t>Grade must be a decimal number between 0 and 100%</t>
    </r>
    <r>
      <rPr>
        <sz val="10"/>
        <color theme="1"/>
        <rFont val="Calibri"/>
        <family val="2"/>
      </rPr>
      <t xml:space="preserve">. Do not include a title for either the input message or error alert.
Make sure to test that your data validation rejects invalid data by attempting to enter a negative number (for example -1), a number greater than 100% (for example 101%). Also try re-entering the original value in one of the cells to make sure that it is accepted. </t>
    </r>
    <r>
      <rPr>
        <b/>
        <sz val="10"/>
        <color theme="1"/>
        <rFont val="Calibri"/>
        <family val="2"/>
      </rPr>
      <t>Make sure that all of the data is left at the original values when done.</t>
    </r>
  </si>
  <si>
    <r>
      <t xml:space="preserve">3. Apply the </t>
    </r>
    <r>
      <rPr>
        <b/>
        <sz val="10"/>
        <color theme="1"/>
        <rFont val="Calibri"/>
        <family val="2"/>
      </rPr>
      <t>4 Traffic Lights</t>
    </r>
    <r>
      <rPr>
        <sz val="10"/>
        <color theme="1"/>
        <rFont val="Calibri"/>
        <family val="2"/>
      </rPr>
      <t xml:space="preserve"> icon set conditional formatting over the cell range </t>
    </r>
    <r>
      <rPr>
        <b/>
        <sz val="10"/>
        <color theme="1"/>
        <rFont val="Calibri"/>
        <family val="2"/>
      </rPr>
      <t>C3 through G11</t>
    </r>
    <r>
      <rPr>
        <sz val="10"/>
        <color theme="1"/>
        <rFont val="Calibri"/>
        <family val="2"/>
      </rPr>
      <t>.</t>
    </r>
  </si>
  <si>
    <r>
      <t xml:space="preserve">5. Import the </t>
    </r>
    <r>
      <rPr>
        <b/>
        <sz val="10"/>
        <color theme="1"/>
        <rFont val="Calibri"/>
        <family val="2"/>
      </rPr>
      <t>MusicCollection</t>
    </r>
    <r>
      <rPr>
        <sz val="10"/>
        <color theme="1"/>
        <rFont val="Calibri"/>
        <family val="2"/>
      </rPr>
      <t xml:space="preserve"> csv file beginning at cell </t>
    </r>
    <r>
      <rPr>
        <b/>
        <sz val="10"/>
        <color theme="1"/>
        <rFont val="Calibri"/>
        <family val="2"/>
      </rPr>
      <t>A2</t>
    </r>
    <r>
      <rPr>
        <sz val="10"/>
        <color theme="1"/>
        <rFont val="Calibri"/>
        <family val="2"/>
      </rPr>
      <t xml:space="preserve"> in the Music Collection worksheet. Note that the csv file uses a </t>
    </r>
    <r>
      <rPr>
        <b/>
        <sz val="10"/>
        <color theme="1"/>
        <rFont val="Calibri"/>
        <family val="2"/>
      </rPr>
      <t>comma</t>
    </r>
    <r>
      <rPr>
        <sz val="10"/>
        <color theme="1"/>
        <rFont val="Calibri"/>
        <family val="2"/>
      </rPr>
      <t xml:space="preserve"> delimiter and it includes a </t>
    </r>
    <r>
      <rPr>
        <b/>
        <sz val="10"/>
        <color theme="1"/>
        <rFont val="Calibri"/>
        <family val="2"/>
      </rPr>
      <t>header row</t>
    </r>
    <r>
      <rPr>
        <sz val="10"/>
        <color theme="1"/>
        <rFont val="Calibri"/>
        <family val="2"/>
      </rPr>
      <t>.</t>
    </r>
  </si>
  <si>
    <r>
      <t xml:space="preserve">6. Create a macro with the name </t>
    </r>
    <r>
      <rPr>
        <b/>
        <sz val="10"/>
        <color theme="1"/>
        <rFont val="Calibri"/>
        <family val="2"/>
      </rPr>
      <t>SalesFormatting</t>
    </r>
    <r>
      <rPr>
        <sz val="10"/>
        <color theme="1"/>
        <rFont val="Calibri"/>
        <family val="2"/>
      </rPr>
      <t xml:space="preserve"> and has the shortcut key </t>
    </r>
    <r>
      <rPr>
        <b/>
        <sz val="10"/>
        <color theme="1"/>
        <rFont val="Calibri"/>
        <family val="2"/>
      </rPr>
      <t>Ctrl+m</t>
    </r>
    <r>
      <rPr>
        <sz val="10"/>
        <color theme="1"/>
        <rFont val="Calibri"/>
        <family val="2"/>
      </rPr>
      <t xml:space="preserve">. </t>
    </r>
    <r>
      <rPr>
        <u/>
        <sz val="10"/>
        <color theme="1"/>
        <rFont val="Calibri"/>
        <family val="2"/>
      </rPr>
      <t>Do not</t>
    </r>
    <r>
      <rPr>
        <sz val="10"/>
        <color theme="1"/>
        <rFont val="Calibri"/>
        <family val="2"/>
      </rPr>
      <t xml:space="preserve"> begin recording the macro
until the next step.</t>
    </r>
  </si>
  <si>
    <r>
      <t xml:space="preserve">8. Run the </t>
    </r>
    <r>
      <rPr>
        <b/>
        <sz val="10"/>
        <color theme="1"/>
        <rFont val="Calibri"/>
        <family val="2"/>
      </rPr>
      <t>SalesFormatting</t>
    </r>
    <r>
      <rPr>
        <sz val="10"/>
        <color theme="1"/>
        <rFont val="Calibri"/>
        <family val="2"/>
      </rPr>
      <t xml:space="preserve"> macro in the</t>
    </r>
    <r>
      <rPr>
        <b/>
        <sz val="10"/>
        <color theme="1"/>
        <rFont val="Calibri"/>
        <family val="2"/>
      </rPr>
      <t xml:space="preserve"> Macro Test</t>
    </r>
    <r>
      <rPr>
        <sz val="10"/>
        <color theme="1"/>
        <rFont val="Calibri"/>
        <family val="2"/>
      </rPr>
      <t xml:space="preserve"> worksheet to ensure that it performs the required tasks.</t>
    </r>
  </si>
  <si>
    <r>
      <t xml:space="preserve">9. Sort the cell range </t>
    </r>
    <r>
      <rPr>
        <b/>
        <sz val="10"/>
        <color theme="1"/>
        <rFont val="Calibri"/>
        <family val="2"/>
      </rPr>
      <t>A3 through E33</t>
    </r>
    <r>
      <rPr>
        <sz val="10"/>
        <color theme="1"/>
        <rFont val="Calibri"/>
        <family val="2"/>
      </rPr>
      <t xml:space="preserve"> alphabetically by the type of room.</t>
    </r>
  </si>
  <si>
    <r>
      <t xml:space="preserve">10. Using the </t>
    </r>
    <r>
      <rPr>
        <b/>
        <sz val="10"/>
        <color theme="1"/>
        <rFont val="Calibri"/>
        <family val="2"/>
      </rPr>
      <t>Subtotal</t>
    </r>
    <r>
      <rPr>
        <sz val="10"/>
        <color theme="1"/>
        <rFont val="Calibri"/>
        <family val="2"/>
      </rPr>
      <t xml:space="preserve"> feature, apply a subtotal to the cell range </t>
    </r>
    <r>
      <rPr>
        <b/>
        <sz val="10"/>
        <color theme="1"/>
        <rFont val="Calibri"/>
        <family val="2"/>
      </rPr>
      <t>A2 through E33</t>
    </r>
    <r>
      <rPr>
        <sz val="10"/>
        <color theme="1"/>
        <rFont val="Calibri"/>
        <family val="2"/>
      </rPr>
      <t xml:space="preserve">, such that it groups by room type, includes a </t>
    </r>
    <r>
      <rPr>
        <b/>
        <sz val="10"/>
        <color theme="1"/>
        <rFont val="Calibri"/>
        <family val="2"/>
      </rPr>
      <t>Sum</t>
    </r>
    <r>
      <rPr>
        <sz val="10"/>
        <color theme="1"/>
        <rFont val="Calibri"/>
        <family val="2"/>
      </rPr>
      <t xml:space="preserve"> for </t>
    </r>
    <r>
      <rPr>
        <u/>
        <sz val="10"/>
        <color theme="1"/>
        <rFont val="Calibri"/>
        <family val="2"/>
      </rPr>
      <t>only</t>
    </r>
    <r>
      <rPr>
        <sz val="10"/>
        <color theme="1"/>
        <rFont val="Calibri"/>
        <family val="2"/>
      </rPr>
      <t xml:space="preserve"> the </t>
    </r>
    <r>
      <rPr>
        <b/>
        <sz val="10"/>
        <color theme="1"/>
        <rFont val="Calibri"/>
        <family val="2"/>
      </rPr>
      <t>Qty</t>
    </r>
    <r>
      <rPr>
        <sz val="10"/>
        <color theme="1"/>
        <rFont val="Calibri"/>
        <family val="2"/>
      </rPr>
      <t xml:space="preserve"> and </t>
    </r>
    <r>
      <rPr>
        <b/>
        <sz val="10"/>
        <color theme="1"/>
        <rFont val="Calibri"/>
        <family val="2"/>
      </rPr>
      <t>Total</t>
    </r>
    <r>
      <rPr>
        <sz val="10"/>
        <color theme="1"/>
        <rFont val="Calibri"/>
        <family val="2"/>
      </rPr>
      <t xml:space="preserve"> columns, applies a </t>
    </r>
    <r>
      <rPr>
        <b/>
        <sz val="10"/>
        <color theme="1"/>
        <rFont val="Calibri"/>
        <family val="2"/>
      </rPr>
      <t>page break between groups</t>
    </r>
    <r>
      <rPr>
        <sz val="10"/>
        <color theme="1"/>
        <rFont val="Calibri"/>
        <family val="2"/>
      </rPr>
      <t xml:space="preserve">, and sets the total summary so that it displays </t>
    </r>
    <r>
      <rPr>
        <b/>
        <sz val="10"/>
        <color theme="1"/>
        <rFont val="Calibri"/>
        <family val="2"/>
      </rPr>
      <t>above</t>
    </r>
    <r>
      <rPr>
        <sz val="10"/>
        <color theme="1"/>
        <rFont val="Calibri"/>
        <family val="2"/>
      </rPr>
      <t xml:space="preserve"> the data.</t>
    </r>
  </si>
  <si>
    <r>
      <t xml:space="preserve">12. Insert the picture file named </t>
    </r>
    <r>
      <rPr>
        <b/>
        <sz val="10"/>
        <color theme="1"/>
        <rFont val="Calibri"/>
        <family val="2"/>
      </rPr>
      <t>Seagull</t>
    </r>
    <r>
      <rPr>
        <sz val="10"/>
        <color theme="1"/>
        <rFont val="Calibri"/>
        <family val="2"/>
      </rPr>
      <t xml:space="preserve"> that you downloaded previously, such that the upper left corner of the picture is located in cell </t>
    </r>
    <r>
      <rPr>
        <b/>
        <sz val="10"/>
        <color theme="1"/>
        <rFont val="Calibri"/>
        <family val="2"/>
      </rPr>
      <t>B3</t>
    </r>
    <r>
      <rPr>
        <sz val="10"/>
        <color theme="1"/>
        <rFont val="Calibri"/>
        <family val="2"/>
      </rPr>
      <t>.</t>
    </r>
  </si>
  <si>
    <r>
      <t xml:space="preserve">13. Change the height of the seagull picture to be </t>
    </r>
    <r>
      <rPr>
        <b/>
        <sz val="10"/>
        <color theme="1"/>
        <rFont val="Calibri"/>
        <family val="2"/>
      </rPr>
      <t>4 inches</t>
    </r>
    <r>
      <rPr>
        <sz val="10"/>
        <color theme="1"/>
        <rFont val="Calibri"/>
        <family val="2"/>
      </rPr>
      <t xml:space="preserve"> (or </t>
    </r>
    <r>
      <rPr>
        <b/>
        <sz val="10"/>
        <color theme="1"/>
        <rFont val="Calibri"/>
        <family val="2"/>
      </rPr>
      <t>10.2 cm</t>
    </r>
    <r>
      <rPr>
        <sz val="10"/>
        <color theme="1"/>
        <rFont val="Calibri"/>
        <family val="2"/>
      </rPr>
      <t>). Make sure to use a technique that keeps the height to width ratio the same, so that the picture does not become distorted.</t>
    </r>
  </si>
  <si>
    <r>
      <t xml:space="preserve">14. Apply the picture effect </t>
    </r>
    <r>
      <rPr>
        <b/>
        <sz val="10"/>
        <color theme="1"/>
        <rFont val="Calibri"/>
        <family val="2"/>
      </rPr>
      <t>Soft Edges</t>
    </r>
    <r>
      <rPr>
        <sz val="10"/>
        <color theme="1"/>
        <rFont val="Calibri"/>
        <family val="2"/>
      </rPr>
      <t xml:space="preserve"> with a setting of </t>
    </r>
    <r>
      <rPr>
        <b/>
        <sz val="10"/>
        <color theme="1"/>
        <rFont val="Calibri"/>
        <family val="2"/>
      </rPr>
      <t>50 Point</t>
    </r>
    <r>
      <rPr>
        <sz val="10"/>
        <color theme="1"/>
        <rFont val="Calibri"/>
        <family val="2"/>
      </rPr>
      <t xml:space="preserve"> to the seagull picture.</t>
    </r>
  </si>
  <si>
    <r>
      <t xml:space="preserve">15. Adjust the colour of the seagull picture to a recolor of </t>
    </r>
    <r>
      <rPr>
        <b/>
        <sz val="10"/>
        <color theme="1"/>
        <rFont val="Calibri"/>
        <family val="2"/>
      </rPr>
      <t>Grayscale</t>
    </r>
    <r>
      <rPr>
        <sz val="10"/>
        <color theme="1"/>
        <rFont val="Calibri"/>
        <family val="2"/>
      </rPr>
      <t>.</t>
    </r>
  </si>
  <si>
    <r>
      <t xml:space="preserve">17. Insert a WordArt with the WordArt style </t>
    </r>
    <r>
      <rPr>
        <b/>
        <sz val="10"/>
        <color theme="1"/>
        <rFont val="Calibri"/>
        <family val="2"/>
      </rPr>
      <t>Fill: Blue, Accent color 5; Outline: White, Background color 1; Hard Shadow: Blue, Accent color 5</t>
    </r>
    <r>
      <rPr>
        <sz val="10"/>
        <color theme="1"/>
        <rFont val="Calibri"/>
        <family val="2"/>
      </rPr>
      <t>. Do not adjust the size of the WordArt.</t>
    </r>
  </si>
  <si>
    <r>
      <t xml:space="preserve">18. Set the text of the WordArt to </t>
    </r>
    <r>
      <rPr>
        <b/>
        <sz val="10"/>
        <color theme="1"/>
        <rFont val="Calibri"/>
        <family val="2"/>
      </rPr>
      <t>Gull Corp.</t>
    </r>
    <r>
      <rPr>
        <sz val="10"/>
        <color theme="1"/>
        <rFont val="Calibri"/>
        <family val="2"/>
      </rPr>
      <t xml:space="preserve"> (including the period).</t>
    </r>
  </si>
  <si>
    <r>
      <t xml:space="preserve">20. Insert a </t>
    </r>
    <r>
      <rPr>
        <b/>
        <sz val="10"/>
        <color theme="1"/>
        <rFont val="Calibri"/>
        <family val="2"/>
      </rPr>
      <t>Name and Title Organization Chart</t>
    </r>
    <r>
      <rPr>
        <sz val="10"/>
        <color theme="1"/>
        <rFont val="Calibri"/>
        <family val="2"/>
      </rPr>
      <t xml:space="preserve"> SmartArt graphic to the right of the seagull picture.</t>
    </r>
  </si>
  <si>
    <r>
      <t xml:space="preserve">21. Alter the organization chart so that it has </t>
    </r>
    <r>
      <rPr>
        <b/>
        <sz val="10"/>
        <color theme="1"/>
        <rFont val="Calibri"/>
        <family val="2"/>
      </rPr>
      <t>four</t>
    </r>
    <r>
      <rPr>
        <sz val="10"/>
        <color theme="1"/>
        <rFont val="Calibri"/>
        <family val="2"/>
      </rPr>
      <t xml:space="preserve"> boxes on the </t>
    </r>
    <r>
      <rPr>
        <b/>
        <sz val="10"/>
        <color theme="1"/>
        <rFont val="Calibri"/>
        <family val="2"/>
      </rPr>
      <t>third</t>
    </r>
    <r>
      <rPr>
        <sz val="10"/>
        <color theme="1"/>
        <rFont val="Calibri"/>
        <family val="2"/>
      </rPr>
      <t xml:space="preserve"> row instead of </t>
    </r>
    <r>
      <rPr>
        <b/>
        <sz val="10"/>
        <color theme="1"/>
        <rFont val="Calibri"/>
        <family val="2"/>
      </rPr>
      <t>three</t>
    </r>
    <r>
      <rPr>
        <sz val="10"/>
        <color theme="1"/>
        <rFont val="Calibri"/>
        <family val="2"/>
      </rPr>
      <t>.</t>
    </r>
  </si>
  <si>
    <r>
      <t xml:space="preserve">22. Insert text in each box (name and title) of the organization chart as follows: top row - </t>
    </r>
    <r>
      <rPr>
        <b/>
        <sz val="10"/>
        <color theme="1"/>
        <rFont val="Calibri"/>
        <family val="2"/>
      </rPr>
      <t xml:space="preserve">C. (Charlie) Gull </t>
    </r>
    <r>
      <rPr>
        <sz val="10"/>
        <color theme="1"/>
        <rFont val="Calibri"/>
        <family val="2"/>
      </rPr>
      <t xml:space="preserve">is </t>
    </r>
    <r>
      <rPr>
        <b/>
        <sz val="10"/>
        <color theme="1"/>
        <rFont val="Calibri"/>
        <family val="2"/>
      </rPr>
      <t>President</t>
    </r>
    <r>
      <rPr>
        <sz val="10"/>
        <color theme="1"/>
        <rFont val="Calibri"/>
        <family val="2"/>
      </rPr>
      <t>, second
row -</t>
    </r>
    <r>
      <rPr>
        <b/>
        <sz val="10"/>
        <color theme="1"/>
        <rFont val="Calibri"/>
        <family val="2"/>
      </rPr>
      <t xml:space="preserve"> Izzy Gull</t>
    </r>
    <r>
      <rPr>
        <sz val="10"/>
        <color theme="1"/>
        <rFont val="Calibri"/>
        <family val="2"/>
      </rPr>
      <t xml:space="preserve"> is </t>
    </r>
    <r>
      <rPr>
        <b/>
        <sz val="10"/>
        <color theme="1"/>
        <rFont val="Calibri"/>
        <family val="2"/>
      </rPr>
      <t>Admin</t>
    </r>
    <r>
      <rPr>
        <sz val="10"/>
        <color theme="1"/>
        <rFont val="Calibri"/>
        <family val="2"/>
      </rPr>
      <t xml:space="preserve">, third row - </t>
    </r>
    <r>
      <rPr>
        <b/>
        <sz val="10"/>
        <color theme="1"/>
        <rFont val="Calibri"/>
        <family val="2"/>
      </rPr>
      <t>Henry Gull</t>
    </r>
    <r>
      <rPr>
        <sz val="10"/>
        <color theme="1"/>
        <rFont val="Calibri"/>
        <family val="2"/>
      </rPr>
      <t xml:space="preserve"> is </t>
    </r>
    <r>
      <rPr>
        <b/>
        <sz val="10"/>
        <color theme="1"/>
        <rFont val="Calibri"/>
        <family val="2"/>
      </rPr>
      <t>Left Wing</t>
    </r>
    <r>
      <rPr>
        <sz val="10"/>
        <color theme="1"/>
        <rFont val="Calibri"/>
        <family val="2"/>
      </rPr>
      <t xml:space="preserve">, </t>
    </r>
    <r>
      <rPr>
        <b/>
        <sz val="10"/>
        <color theme="1"/>
        <rFont val="Calibri"/>
        <family val="2"/>
      </rPr>
      <t>Madi Gull</t>
    </r>
    <r>
      <rPr>
        <sz val="10"/>
        <color theme="1"/>
        <rFont val="Calibri"/>
        <family val="2"/>
      </rPr>
      <t xml:space="preserve"> is </t>
    </r>
    <r>
      <rPr>
        <b/>
        <sz val="10"/>
        <color theme="1"/>
        <rFont val="Calibri"/>
        <family val="2"/>
      </rPr>
      <t>Drumstick</t>
    </r>
    <r>
      <rPr>
        <sz val="10"/>
        <color theme="1"/>
        <rFont val="Calibri"/>
        <family val="2"/>
      </rPr>
      <t xml:space="preserve">, </t>
    </r>
    <r>
      <rPr>
        <b/>
        <sz val="10"/>
        <color theme="1"/>
        <rFont val="Calibri"/>
        <family val="2"/>
      </rPr>
      <t xml:space="preserve">Grant Gull </t>
    </r>
    <r>
      <rPr>
        <sz val="10"/>
        <color theme="1"/>
        <rFont val="Calibri"/>
        <family val="2"/>
      </rPr>
      <t xml:space="preserve">is </t>
    </r>
    <r>
      <rPr>
        <b/>
        <sz val="10"/>
        <color theme="1"/>
        <rFont val="Calibri"/>
        <family val="2"/>
      </rPr>
      <t>Giblets</t>
    </r>
    <r>
      <rPr>
        <sz val="10"/>
        <color theme="1"/>
        <rFont val="Calibri"/>
        <family val="2"/>
      </rPr>
      <t xml:space="preserve">, and </t>
    </r>
    <r>
      <rPr>
        <b/>
        <sz val="10"/>
        <color theme="1"/>
        <rFont val="Calibri"/>
        <family val="2"/>
      </rPr>
      <t>Zach Gull</t>
    </r>
    <r>
      <rPr>
        <sz val="10"/>
        <color theme="1"/>
        <rFont val="Calibri"/>
        <family val="2"/>
      </rPr>
      <t xml:space="preserve"> is
</t>
    </r>
    <r>
      <rPr>
        <b/>
        <sz val="10"/>
        <color theme="1"/>
        <rFont val="Calibri"/>
        <family val="2"/>
      </rPr>
      <t>Right Wing</t>
    </r>
    <r>
      <rPr>
        <sz val="10"/>
        <color theme="1"/>
        <rFont val="Calibri"/>
        <family val="2"/>
      </rPr>
      <t>. Make sure to put the titles (e.g. President) in the white title boxes. If you do not see the white title boxes, then you
selected the wrong SmartArt graphic type.</t>
    </r>
  </si>
  <si>
    <r>
      <t xml:space="preserve">23. Change the SmartArt style to </t>
    </r>
    <r>
      <rPr>
        <b/>
        <sz val="10"/>
        <color theme="1"/>
        <rFont val="Calibri"/>
        <family val="2"/>
      </rPr>
      <t>Polished</t>
    </r>
    <r>
      <rPr>
        <sz val="10"/>
        <color theme="1"/>
        <rFont val="Calibri"/>
        <family val="2"/>
      </rPr>
      <t>.</t>
    </r>
  </si>
  <si>
    <t>Elliot</t>
  </si>
  <si>
    <r>
      <t xml:space="preserve">24. Change the SmartArt colours to </t>
    </r>
    <r>
      <rPr>
        <b/>
        <sz val="10"/>
        <color theme="1"/>
        <rFont val="Calibri"/>
        <family val="2"/>
      </rPr>
      <t>Colorful - Accent Colors</t>
    </r>
    <r>
      <rPr>
        <sz val="10"/>
        <color theme="1"/>
        <rFont val="Calibri"/>
        <family val="2"/>
      </rPr>
      <t>.</t>
    </r>
  </si>
  <si>
    <r>
      <t xml:space="preserve">16. Apply the </t>
    </r>
    <r>
      <rPr>
        <b/>
        <sz val="10"/>
        <color theme="1"/>
        <rFont val="Calibri"/>
        <family val="2"/>
      </rPr>
      <t>Film Grain</t>
    </r>
    <r>
      <rPr>
        <sz val="10"/>
        <color theme="1"/>
        <rFont val="Calibri"/>
        <family val="2"/>
      </rPr>
      <t xml:space="preserve"> artistic effect to the seagull picture.</t>
    </r>
  </si>
  <si>
    <r>
      <t xml:space="preserve">7. Record the macro so that it performs </t>
    </r>
    <r>
      <rPr>
        <u/>
        <sz val="10"/>
        <color theme="1"/>
        <rFont val="Calibri"/>
        <family val="2"/>
      </rPr>
      <t>only</t>
    </r>
    <r>
      <rPr>
        <sz val="10"/>
        <color theme="1"/>
        <rFont val="Calibri"/>
        <family val="2"/>
      </rPr>
      <t xml:space="preserve"> the following tasks:
    • Merge and centre cells </t>
    </r>
    <r>
      <rPr>
        <b/>
        <sz val="10"/>
        <color theme="1"/>
        <rFont val="Calibri"/>
        <family val="2"/>
      </rPr>
      <t>A1 through D1</t>
    </r>
    <r>
      <rPr>
        <sz val="10"/>
        <color theme="1"/>
        <rFont val="Calibri"/>
        <family val="2"/>
      </rPr>
      <t xml:space="preserve">.
    • Apply the </t>
    </r>
    <r>
      <rPr>
        <b/>
        <sz val="10"/>
        <color theme="1"/>
        <rFont val="Calibri"/>
        <family val="2"/>
      </rPr>
      <t>Accent 2</t>
    </r>
    <r>
      <rPr>
        <sz val="10"/>
        <color theme="1"/>
        <rFont val="Calibri"/>
        <family val="2"/>
      </rPr>
      <t xml:space="preserve"> cell style to cells </t>
    </r>
    <r>
      <rPr>
        <b/>
        <sz val="10"/>
        <color theme="1"/>
        <rFont val="Calibri"/>
        <family val="2"/>
      </rPr>
      <t>A11 through D11</t>
    </r>
    <r>
      <rPr>
        <sz val="10"/>
        <color theme="1"/>
        <rFont val="Calibri"/>
        <family val="2"/>
      </rPr>
      <t xml:space="preserve">.
Make sure that you are in the Macro worksheet before starting the recording, as you must </t>
    </r>
    <r>
      <rPr>
        <u/>
        <sz val="10"/>
        <color theme="1"/>
        <rFont val="Calibri"/>
        <family val="2"/>
      </rPr>
      <t>not</t>
    </r>
    <r>
      <rPr>
        <sz val="10"/>
        <color theme="1"/>
        <rFont val="Calibri"/>
        <family val="2"/>
      </rPr>
      <t xml:space="preserve"> include switching between worksheets in your macro.</t>
    </r>
  </si>
  <si>
    <r>
      <t xml:space="preserve">4. Modify the conditional formatting rule you applied in the previous step as follows:
    • a </t>
    </r>
    <r>
      <rPr>
        <b/>
        <sz val="10"/>
        <color theme="1"/>
        <rFont val="Calibri"/>
        <family val="2"/>
      </rPr>
      <t xml:space="preserve">Green Circle </t>
    </r>
    <r>
      <rPr>
        <sz val="10"/>
        <color theme="1"/>
        <rFont val="Calibri"/>
        <family val="2"/>
      </rPr>
      <t xml:space="preserve">icon of type </t>
    </r>
    <r>
      <rPr>
        <b/>
        <sz val="10"/>
        <color theme="1"/>
        <rFont val="Calibri"/>
        <family val="2"/>
      </rPr>
      <t>Number</t>
    </r>
    <r>
      <rPr>
        <sz val="10"/>
        <color theme="1"/>
        <rFont val="Calibri"/>
        <family val="2"/>
      </rPr>
      <t xml:space="preserve"> is displayed for values </t>
    </r>
    <r>
      <rPr>
        <b/>
        <sz val="10"/>
        <color theme="1"/>
        <rFont val="Calibri"/>
        <family val="2"/>
      </rPr>
      <t>greater than or equal to 0.85</t>
    </r>
    <r>
      <rPr>
        <sz val="10"/>
        <color theme="1"/>
        <rFont val="Calibri"/>
        <family val="2"/>
      </rPr>
      <t xml:space="preserve"> (representing 85%). </t>
    </r>
    <r>
      <rPr>
        <b/>
        <sz val="10"/>
        <color theme="1"/>
        <rFont val="Calibri"/>
        <family val="2"/>
      </rPr>
      <t>Note</t>
    </r>
    <r>
      <rPr>
        <sz val="10"/>
        <color theme="1"/>
        <rFont val="Calibri"/>
        <family val="2"/>
      </rPr>
      <t xml:space="preserve">: Set the type box to </t>
    </r>
    <r>
      <rPr>
        <b/>
        <sz val="10"/>
        <color theme="1"/>
        <rFont val="Calibri"/>
        <family val="2"/>
      </rPr>
      <t>Number</t>
    </r>
    <r>
      <rPr>
        <sz val="10"/>
        <color theme="1"/>
        <rFont val="Calibri"/>
        <family val="2"/>
      </rPr>
      <t xml:space="preserve"> before setting the values for the icons, just like you did in the learning activity.
    • a </t>
    </r>
    <r>
      <rPr>
        <b/>
        <sz val="10"/>
        <color theme="1"/>
        <rFont val="Calibri"/>
        <family val="2"/>
      </rPr>
      <t xml:space="preserve">Gray Circle </t>
    </r>
    <r>
      <rPr>
        <sz val="10"/>
        <color theme="1"/>
        <rFont val="Calibri"/>
        <family val="2"/>
      </rPr>
      <t xml:space="preserve">icon of type </t>
    </r>
    <r>
      <rPr>
        <b/>
        <sz val="10"/>
        <color theme="1"/>
        <rFont val="Calibri"/>
        <family val="2"/>
      </rPr>
      <t>Number</t>
    </r>
    <r>
      <rPr>
        <sz val="10"/>
        <color theme="1"/>
        <rFont val="Calibri"/>
        <family val="2"/>
      </rPr>
      <t xml:space="preserve"> is displayed for values </t>
    </r>
    <r>
      <rPr>
        <b/>
        <sz val="10"/>
        <color theme="1"/>
        <rFont val="Calibri"/>
        <family val="2"/>
      </rPr>
      <t>less than 0.85</t>
    </r>
    <r>
      <rPr>
        <sz val="10"/>
        <color theme="1"/>
        <rFont val="Calibri"/>
        <family val="2"/>
      </rPr>
      <t xml:space="preserve"> and </t>
    </r>
    <r>
      <rPr>
        <b/>
        <sz val="10"/>
        <color theme="1"/>
        <rFont val="Calibri"/>
        <family val="2"/>
      </rPr>
      <t>greater than or equal to 0.6</t>
    </r>
    <r>
      <rPr>
        <sz val="10"/>
        <color theme="1"/>
        <rFont val="Calibri"/>
        <family val="2"/>
      </rPr>
      <t xml:space="preserve"> (60%). Do not confuse gray with black - make use of the tool tips to help you.
    • a </t>
    </r>
    <r>
      <rPr>
        <b/>
        <sz val="10"/>
        <color theme="1"/>
        <rFont val="Calibri"/>
        <family val="2"/>
      </rPr>
      <t xml:space="preserve">Yellow Circle </t>
    </r>
    <r>
      <rPr>
        <sz val="10"/>
        <color theme="1"/>
        <rFont val="Calibri"/>
        <family val="2"/>
      </rPr>
      <t xml:space="preserve">icon is displayed for values </t>
    </r>
    <r>
      <rPr>
        <b/>
        <sz val="10"/>
        <color theme="1"/>
        <rFont val="Calibri"/>
        <family val="2"/>
      </rPr>
      <t>less than 0.6</t>
    </r>
    <r>
      <rPr>
        <sz val="10"/>
        <color theme="1"/>
        <rFont val="Calibri"/>
        <family val="2"/>
      </rPr>
      <t xml:space="preserve"> and </t>
    </r>
    <r>
      <rPr>
        <b/>
        <sz val="10"/>
        <color theme="1"/>
        <rFont val="Calibri"/>
        <family val="2"/>
      </rPr>
      <t>greater than or equal to 0.5</t>
    </r>
    <r>
      <rPr>
        <sz val="10"/>
        <color theme="1"/>
        <rFont val="Calibri"/>
        <family val="2"/>
      </rPr>
      <t xml:space="preserve"> (50%).
    • a </t>
    </r>
    <r>
      <rPr>
        <b/>
        <sz val="10"/>
        <color theme="1"/>
        <rFont val="Calibri"/>
        <family val="2"/>
      </rPr>
      <t xml:space="preserve">Red Circle With Border </t>
    </r>
    <r>
      <rPr>
        <sz val="10"/>
        <color theme="1"/>
        <rFont val="Calibri"/>
        <family val="2"/>
      </rPr>
      <t xml:space="preserve">icon is displayed for values </t>
    </r>
    <r>
      <rPr>
        <b/>
        <sz val="10"/>
        <color theme="1"/>
        <rFont val="Calibri"/>
        <family val="2"/>
      </rPr>
      <t>less than 0.5</t>
    </r>
    <r>
      <rPr>
        <sz val="10"/>
        <color theme="1"/>
        <rFont val="Calibri"/>
        <family val="2"/>
      </rPr>
      <t>.
When done you should see that grades less than 50% have a red stop light icon, grades in the 50’s have a yellow stop light icon, grades greater than or equal to 60 and less than 85 have a gray stop light icon, and grades 85 and above have a green stop light icon.</t>
    </r>
  </si>
  <si>
    <t>ID</t>
  </si>
  <si>
    <t>Song</t>
  </si>
  <si>
    <t>Performer</t>
  </si>
  <si>
    <t>Album</t>
  </si>
  <si>
    <t>Genre</t>
  </si>
  <si>
    <t>Snowbird</t>
  </si>
  <si>
    <t>Anne Murray</t>
  </si>
  <si>
    <t>Country</t>
  </si>
  <si>
    <t>Kashmir</t>
  </si>
  <si>
    <t>Led Zeppelin</t>
  </si>
  <si>
    <t>Physical Graffiti</t>
  </si>
  <si>
    <t>Hard Rock</t>
  </si>
  <si>
    <t>Stayin' Alive</t>
  </si>
  <si>
    <t>Bee Gees</t>
  </si>
  <si>
    <t>Saturday Night Fever</t>
  </si>
  <si>
    <t>Disco</t>
  </si>
  <si>
    <t>Viva la Vida</t>
  </si>
  <si>
    <t>Coldplay</t>
  </si>
  <si>
    <t>Alternative Rock</t>
  </si>
  <si>
    <t>Blue Suede Shoes</t>
  </si>
  <si>
    <t>Elvis Presley</t>
  </si>
  <si>
    <t>Rock</t>
  </si>
  <si>
    <t>Riverboat Fantasy</t>
  </si>
  <si>
    <t>David Wilcox</t>
  </si>
  <si>
    <t>My Eyes Keep Me in Trouble</t>
  </si>
  <si>
    <t>Could I Have This Dance</t>
  </si>
  <si>
    <t>Anne Murray's Greatest Hits</t>
  </si>
  <si>
    <t>Yellow</t>
  </si>
  <si>
    <t>Parachutes</t>
  </si>
  <si>
    <t>Sweet Talkin' Woman</t>
  </si>
  <si>
    <t>ELO</t>
  </si>
  <si>
    <t>Out of the Blue</t>
  </si>
  <si>
    <t>Release Me</t>
  </si>
  <si>
    <t>Engelbert Humperdinck</t>
  </si>
  <si>
    <t>Pop</t>
  </si>
  <si>
    <t>Jammin</t>
  </si>
  <si>
    <t>Bob Marley</t>
  </si>
  <si>
    <t>Babylon by Bus</t>
  </si>
  <si>
    <t>Reggae</t>
  </si>
  <si>
    <t>Bathroom Total</t>
  </si>
  <si>
    <t>Bedroom Total</t>
  </si>
  <si>
    <t>Kitchen Total</t>
  </si>
  <si>
    <t>Living Room Total</t>
  </si>
  <si>
    <t>Miscellaneous Total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</si>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</sst>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_);_(* \(#,##0\);_(* &quot;-&quot;??_);_(@_)"/>
    <numFmt numFmtId="166" formatCode="0.0"/>
    <numFmt numFmtId="167" formatCode="0.0%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rgb="FFFFC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0"/>
      <color theme="1"/>
      <name val="Calibri"/>
      <family val="2"/>
    </font>
    <font>
      <b/>
      <sz val="10"/>
      <name val="Calibri"/>
      <family val="2"/>
    </font>
    <font>
      <b/>
      <sz val="10"/>
      <color rgb="FFFF0000"/>
      <name val="Calibri"/>
      <family val="2"/>
    </font>
    <font>
      <sz val="10"/>
      <color theme="1"/>
      <name val="Calibri"/>
      <family val="2"/>
    </font>
    <font>
      <b/>
      <sz val="10"/>
      <color rgb="FF0070C0"/>
      <name val="Calibri"/>
      <family val="2"/>
    </font>
    <font>
      <sz val="10"/>
      <color rgb="FFFF0000"/>
      <name val="Calibri"/>
      <family val="2"/>
    </font>
    <font>
      <b/>
      <u/>
      <sz val="10"/>
      <color theme="1"/>
      <name val="Calibri"/>
      <family val="2"/>
    </font>
    <font>
      <u/>
      <sz val="10"/>
      <color theme="1"/>
      <name val="Calibri"/>
      <family val="2"/>
    </font>
    <font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lightGray">
        <bgColor auto="1"/>
      </patternFill>
    </fill>
    <fill>
      <patternFill patternType="solid">
        <fgColor theme="5"/>
      </patternFill>
    </fill>
  </fills>
  <borders count="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8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18" fillId="5" borderId="0" applyNumberFormat="0" applyBorder="0" applyAlignment="0" applyProtection="0"/>
  </cellStyleXfs>
  <cellXfs count="33">
    <xf numFmtId="0" fontId="0" fillId="0" borderId="0" xfId="0"/>
    <xf numFmtId="0" fontId="5" fillId="0" borderId="3" xfId="0" applyFont="1" applyBorder="1" applyAlignment="1">
      <alignment horizontal="center"/>
    </xf>
    <xf numFmtId="0" fontId="0" fillId="0" borderId="3" xfId="0" applyBorder="1"/>
    <xf numFmtId="9" fontId="0" fillId="0" borderId="3" xfId="3" applyFont="1" applyBorder="1"/>
    <xf numFmtId="0" fontId="5" fillId="3" borderId="5" xfId="0" applyFont="1" applyFill="1" applyBorder="1" applyAlignment="1">
      <alignment horizontal="center"/>
    </xf>
    <xf numFmtId="164" fontId="0" fillId="0" borderId="0" xfId="2" applyNumberFormat="1" applyFont="1"/>
    <xf numFmtId="165" fontId="0" fillId="0" borderId="0" xfId="1" applyNumberFormat="1" applyFont="1"/>
    <xf numFmtId="0" fontId="5" fillId="0" borderId="0" xfId="0" applyFont="1"/>
    <xf numFmtId="0" fontId="5" fillId="0" borderId="0" xfId="0" applyFont="1" applyAlignment="1">
      <alignment horizontal="center"/>
    </xf>
    <xf numFmtId="164" fontId="0" fillId="0" borderId="0" xfId="0" applyNumberFormat="1"/>
    <xf numFmtId="0" fontId="9" fillId="0" borderId="0" xfId="0" applyFont="1"/>
    <xf numFmtId="0" fontId="10" fillId="0" borderId="0" xfId="0" applyFont="1" applyAlignment="1">
      <alignment horizontal="center"/>
    </xf>
    <xf numFmtId="0" fontId="11" fillId="0" borderId="0" xfId="0" applyFont="1" applyAlignment="1">
      <alignment horizontal="left"/>
    </xf>
    <xf numFmtId="0" fontId="12" fillId="0" borderId="0" xfId="0" applyFont="1" applyFill="1"/>
    <xf numFmtId="0" fontId="13" fillId="0" borderId="0" xfId="0" applyFont="1" applyAlignment="1">
      <alignment wrapText="1"/>
    </xf>
    <xf numFmtId="0" fontId="12" fillId="4" borderId="0" xfId="0" applyFont="1" applyFill="1"/>
    <xf numFmtId="0" fontId="10" fillId="0" borderId="0" xfId="0" applyFont="1" applyAlignment="1">
      <alignment wrapText="1"/>
    </xf>
    <xf numFmtId="166" fontId="15" fillId="0" borderId="0" xfId="0" applyNumberFormat="1" applyFont="1"/>
    <xf numFmtId="0" fontId="12" fillId="0" borderId="6" xfId="0" applyFont="1" applyFill="1" applyBorder="1"/>
    <xf numFmtId="0" fontId="13" fillId="0" borderId="0" xfId="0" applyFont="1"/>
    <xf numFmtId="167" fontId="12" fillId="0" borderId="0" xfId="0" applyNumberFormat="1" applyFont="1"/>
    <xf numFmtId="167" fontId="10" fillId="0" borderId="0" xfId="0" applyNumberFormat="1" applyFont="1"/>
    <xf numFmtId="166" fontId="15" fillId="0" borderId="0" xfId="0" applyNumberFormat="1" applyFont="1" applyFill="1"/>
    <xf numFmtId="166" fontId="12" fillId="0" borderId="6" xfId="0" applyNumberFormat="1" applyFont="1" applyBorder="1"/>
    <xf numFmtId="0" fontId="0" fillId="0" borderId="0" xfId="0" applyNumberFormat="1"/>
    <xf numFmtId="0" fontId="18" fillId="5" borderId="0" xfId="7"/>
    <xf numFmtId="164" fontId="18" fillId="5" borderId="0" xfId="7" applyNumberFormat="1"/>
    <xf numFmtId="0" fontId="5" fillId="0" borderId="3" xfId="0" applyFont="1" applyBorder="1" applyAlignment="1">
      <alignment horizontal="center"/>
    </xf>
    <xf numFmtId="0" fontId="3" fillId="0" borderId="0" xfId="5" applyBorder="1" applyAlignment="1">
      <alignment horizontal="center"/>
    </xf>
    <xf numFmtId="0" fontId="8" fillId="2" borderId="0" xfId="6" applyFont="1" applyFill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6" fillId="2" borderId="0" xfId="4" applyFont="1" applyFill="1" applyAlignment="1">
      <alignment horizontal="center"/>
    </xf>
    <xf numFmtId="0" fontId="5" fillId="0" borderId="0" xfId="0" applyFont="1" applyAlignment="1">
      <alignment horizontal="center"/>
    </xf>
  </cellXfs>
  <cellStyles count="8">
    <cellStyle name="Accent2" xfId="7" builtinId="33"/>
    <cellStyle name="Comma" xfId="1" builtinId="3"/>
    <cellStyle name="Currency" xfId="2" builtinId="4"/>
    <cellStyle name="Heading 1" xfId="5" builtinId="16"/>
    <cellStyle name="Heading 3" xfId="6" builtinId="18"/>
    <cellStyle name="Normal" xfId="0" builtinId="0"/>
    <cellStyle name="Percent" xfId="3" builtinId="5"/>
    <cellStyle name="Title" xfId="4" builtinId="15"/>
  </cellStyles>
  <dxfs count="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FFFFFF"/>
      <color rgb="FF0072B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colorful1">
  <dgm:title val=""/>
  <dgm:desc val=""/>
  <dgm:catLst>
    <dgm:cat type="colorful" pri="101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1">
    <dgm:fillClrLst meth="repeat">
      <a:schemeClr val="accent2"/>
      <a:schemeClr val="accent3"/>
      <a:schemeClr val="accent4"/>
      <a:schemeClr val="accent5"/>
      <a:schemeClr val="accent6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2"/>
      <a:schemeClr val="accent3"/>
      <a:schemeClr val="accent4"/>
      <a:schemeClr val="accent5"/>
      <a:schemeClr val="accent6"/>
    </dgm:fillClrLst>
    <dgm:linClrLst meth="repeat">
      <a:schemeClr val="accent2"/>
      <a:schemeClr val="accent3"/>
      <a:schemeClr val="accent4"/>
      <a:schemeClr val="accent5"/>
      <a:schemeClr val="accent6"/>
    </dgm:linClrLst>
    <dgm:effectClrLst/>
    <dgm:txLinClrLst/>
    <dgm:txFillClrLst/>
    <dgm:txEffectClrLst/>
  </dgm:styleLbl>
  <dgm:styleLbl name="lnNode1">
    <dgm:fillClrLst meth="repeat">
      <a:schemeClr val="accent2"/>
      <a:schemeClr val="accent3"/>
      <a:schemeClr val="accent4"/>
      <a:schemeClr val="accent5"/>
      <a:schemeClr val="accent6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2">
        <a:alpha val="50000"/>
      </a:schemeClr>
      <a:schemeClr val="accent3">
        <a:alpha val="50000"/>
      </a:schemeClr>
      <a:schemeClr val="accent4">
        <a:alpha val="50000"/>
      </a:schemeClr>
      <a:schemeClr val="accent5">
        <a:alpha val="50000"/>
      </a:schemeClr>
      <a:schemeClr val="accent6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>
      <a:schemeClr val="accent2"/>
    </dgm:fillClrLst>
    <dgm:linClrLst meth="repeat">
      <a:schemeClr val="lt1"/>
    </dgm:linClrLst>
    <dgm:effectClrLst/>
    <dgm:txLinClrLst/>
    <dgm:txFillClrLst/>
    <dgm:txEffectClrLst/>
  </dgm:styleLbl>
  <dgm:styleLbl name="node3">
    <dgm:fillClrLst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node4">
    <dgm:fillClrLst>
      <a:schemeClr val="accent4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2">
        <a:tint val="50000"/>
      </a:schemeClr>
      <a:schemeClr val="accent3">
        <a:tint val="50000"/>
      </a:schemeClr>
      <a:schemeClr val="accent4">
        <a:tint val="50000"/>
      </a:schemeClr>
      <a:schemeClr val="accent5">
        <a:tint val="50000"/>
      </a:schemeClr>
      <a:schemeClr val="accent6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>
      <a:schemeClr val="accent1">
        <a:tint val="50000"/>
      </a:schemeClr>
      <a:schemeClr val="accent2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>
      <a:schemeClr val="accent1">
        <a:tint val="50000"/>
      </a:schemeClr>
      <a:schemeClr val="accent2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2"/>
      <a:schemeClr val="accent3"/>
      <a:schemeClr val="accent4"/>
      <a:schemeClr val="accent5"/>
      <a:schemeClr val="accent6"/>
    </dgm:fillClrLst>
    <dgm:linClrLst meth="cycle">
      <a:schemeClr val="lt1"/>
    </dgm:linClrLst>
    <dgm:effectClrLst/>
    <dgm:txLinClrLst/>
    <dgm:txFillClrLst/>
    <dgm:txEffectClrLst/>
  </dgm:styleLbl>
  <dgm:styleLbl name="fgSibTrans2D1">
    <dgm:fillClrLst meth="repeat">
      <a:schemeClr val="accent2"/>
      <a:schemeClr val="accent3"/>
      <a:schemeClr val="accent4"/>
      <a:schemeClr val="accent5"/>
      <a:schemeClr val="accent6"/>
    </dgm:fillClrLst>
    <dgm:linClrLst meth="cycle">
      <a:schemeClr val="lt1"/>
    </dgm:linClrLst>
    <dgm:effectClrLst/>
    <dgm:txLinClrLst/>
    <dgm:txFillClrLst meth="repeat">
      <a:schemeClr val="lt1"/>
    </dgm:txFillClrLst>
    <dgm:txEffectClrLst/>
  </dgm:styleLbl>
  <dgm:styleLbl name="bgSibTrans2D1">
    <dgm:fillClrLst meth="repeat">
      <a:schemeClr val="accent2"/>
      <a:schemeClr val="accent3"/>
      <a:schemeClr val="accent4"/>
      <a:schemeClr val="accent5"/>
      <a:schemeClr val="accent6"/>
    </dgm:fillClrLst>
    <dgm:linClrLst meth="cycle">
      <a:schemeClr val="lt1"/>
    </dgm:linClrLst>
    <dgm:effectClrLst/>
    <dgm:txLinClrLst/>
    <dgm:txFillClrLst meth="repeat">
      <a:schemeClr val="lt1"/>
    </dgm:txFillClrLst>
    <dgm:txEffectClrLst/>
  </dgm:styleLbl>
  <dgm:styleLbl name="sibTrans1D1">
    <dgm:fillClrLst meth="repeat">
      <a:schemeClr val="accent2"/>
      <a:schemeClr val="accent3"/>
      <a:schemeClr val="accent4"/>
      <a:schemeClr val="accent5"/>
      <a:schemeClr val="accent6"/>
    </dgm:fillClrLst>
    <dgm:linClrLst meth="repeat">
      <a:schemeClr val="accent2"/>
      <a:schemeClr val="accent3"/>
      <a:schemeClr val="accent4"/>
      <a:schemeClr val="accent5"/>
      <a:schemeClr val="accent6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2"/>
    </dgm:fillClrLst>
    <dgm:linClrLst meth="repeat">
      <a:schemeClr val="accent2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2"/>
    </dgm:fillClrLst>
    <dgm:linClrLst meth="repeat">
      <a:schemeClr val="lt1"/>
    </dgm:linClrLst>
    <dgm:effectClrLst/>
    <dgm:txLinClrLst/>
    <dgm:txFillClrLst/>
    <dgm:txEffectClrLst/>
  </dgm:styleLbl>
  <dgm:styleLbl name="asst2">
    <dgm:fillClrLst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asst3">
    <dgm:fillClrLst>
      <a:schemeClr val="accent4"/>
    </dgm:fillClrLst>
    <dgm:linClrLst meth="repeat">
      <a:schemeClr val="lt1"/>
    </dgm:linClrLst>
    <dgm:effectClrLst/>
    <dgm:txLinClrLst/>
    <dgm:txFillClrLst/>
    <dgm:txEffectClrLst/>
  </dgm:styleLbl>
  <dgm:styleLbl name="asst4">
    <dgm:fillClrLst>
      <a:schemeClr val="accent5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2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parChTrans2D3">
    <dgm:fillClrLst meth="repeat">
      <a:schemeClr val="accent4"/>
    </dgm:fillClrLst>
    <dgm:linClrLst meth="repeat">
      <a:schemeClr val="lt1"/>
    </dgm:linClrLst>
    <dgm:effectClrLst/>
    <dgm:txLinClrLst/>
    <dgm:txFillClrLst/>
    <dgm:txEffectClrLst/>
  </dgm:styleLbl>
  <dgm:styleLbl name="parChTrans2D4">
    <dgm:fillClrLst meth="repeat">
      <a:schemeClr val="accent5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2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3">
        <a:tint val="90000"/>
      </a:schemeClr>
    </dgm:fillClrLst>
    <dgm:linClrLst meth="repeat">
      <a:schemeClr val="accent2"/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4">
        <a:tint val="70000"/>
      </a:schemeClr>
    </dgm:fillClrLst>
    <dgm:linClrLst meth="repeat">
      <a:schemeClr val="accent3"/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5">
        <a:tint val="50000"/>
      </a:schemeClr>
    </dgm:fillClrLst>
    <dgm:linClrLst meth="repeat">
      <a:schemeClr val="accent4"/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2"/>
      <a:schemeClr val="accent3"/>
      <a:schemeClr val="accent4"/>
      <a:schemeClr val="accent5"/>
      <a:schemeClr val="accent6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2"/>
      <a:schemeClr val="accent3"/>
      <a:schemeClr val="accent4"/>
      <a:schemeClr val="accent5"/>
      <a:schemeClr val="accent6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2"/>
      <a:schemeClr val="accent3"/>
      <a:schemeClr val="accent4"/>
      <a:schemeClr val="accent5"/>
      <a:schemeClr val="accent6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2"/>
      <a:schemeClr val="accent3"/>
      <a:schemeClr val="accent4"/>
      <a:schemeClr val="accent5"/>
      <a:schemeClr val="accent6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2"/>
      <a:schemeClr val="accent3"/>
      <a:schemeClr val="accent4"/>
      <a:schemeClr val="accent5"/>
      <a:schemeClr val="accent6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2"/>
      <a:schemeClr val="accent3"/>
      <a:schemeClr val="accent4"/>
      <a:schemeClr val="accent5"/>
      <a:schemeClr val="accent6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2"/>
      <a:schemeClr val="accent3"/>
      <a:schemeClr val="accent4"/>
      <a:schemeClr val="accent5"/>
      <a:schemeClr val="accent6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2">
        <a:tint val="40000"/>
        <a:alpha val="90000"/>
      </a:schemeClr>
      <a:schemeClr val="accent3">
        <a:tint val="40000"/>
        <a:alpha val="90000"/>
      </a:schemeClr>
      <a:schemeClr val="accent4">
        <a:tint val="40000"/>
        <a:alpha val="90000"/>
      </a:schemeClr>
      <a:schemeClr val="accent5">
        <a:tint val="40000"/>
        <a:alpha val="90000"/>
      </a:schemeClr>
      <a:schemeClr val="accent6">
        <a:tint val="40000"/>
        <a:alpha val="90000"/>
      </a:schemeClr>
    </dgm:fillClrLst>
    <dgm:linClrLst meth="repeat">
      <a:schemeClr val="accent2">
        <a:tint val="40000"/>
        <a:alpha val="90000"/>
      </a:schemeClr>
      <a:schemeClr val="accent3">
        <a:tint val="40000"/>
        <a:alpha val="90000"/>
      </a:schemeClr>
      <a:schemeClr val="accent4">
        <a:tint val="40000"/>
        <a:alpha val="90000"/>
      </a:schemeClr>
      <a:schemeClr val="accent5">
        <a:tint val="40000"/>
        <a:alpha val="90000"/>
      </a:schemeClr>
      <a:schemeClr val="accent6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2">
        <a:tint val="40000"/>
        <a:alpha val="90000"/>
      </a:schemeClr>
      <a:schemeClr val="accent3">
        <a:tint val="40000"/>
        <a:alpha val="90000"/>
      </a:schemeClr>
      <a:schemeClr val="accent4">
        <a:tint val="40000"/>
        <a:alpha val="90000"/>
      </a:schemeClr>
      <a:schemeClr val="accent5">
        <a:tint val="40000"/>
        <a:alpha val="90000"/>
      </a:schemeClr>
      <a:schemeClr val="accent6">
        <a:tint val="40000"/>
        <a:alpha val="90000"/>
      </a:schemeClr>
    </dgm:fillClrLst>
    <dgm:linClrLst meth="repeat">
      <a:schemeClr val="accent2">
        <a:tint val="40000"/>
        <a:alpha val="90000"/>
      </a:schemeClr>
      <a:schemeClr val="accent3">
        <a:tint val="40000"/>
        <a:alpha val="90000"/>
      </a:schemeClr>
      <a:schemeClr val="accent4">
        <a:tint val="40000"/>
        <a:alpha val="90000"/>
      </a:schemeClr>
      <a:schemeClr val="accent5">
        <a:tint val="40000"/>
        <a:alpha val="90000"/>
      </a:schemeClr>
      <a:schemeClr val="accent6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2">
        <a:tint val="40000"/>
        <a:alpha val="90000"/>
      </a:schemeClr>
      <a:schemeClr val="accent3">
        <a:tint val="40000"/>
        <a:alpha val="90000"/>
      </a:schemeClr>
      <a:schemeClr val="accent4">
        <a:tint val="40000"/>
        <a:alpha val="90000"/>
      </a:schemeClr>
      <a:schemeClr val="accent5">
        <a:tint val="40000"/>
        <a:alpha val="90000"/>
      </a:schemeClr>
      <a:schemeClr val="accent6">
        <a:tint val="40000"/>
        <a:alpha val="90000"/>
      </a:schemeClr>
    </dgm:fillClrLst>
    <dgm:linClrLst meth="repeat">
      <a:schemeClr val="accent2">
        <a:tint val="40000"/>
        <a:alpha val="90000"/>
      </a:schemeClr>
      <a:schemeClr val="accent3">
        <a:tint val="40000"/>
        <a:alpha val="90000"/>
      </a:schemeClr>
      <a:schemeClr val="accent4">
        <a:tint val="40000"/>
        <a:alpha val="90000"/>
      </a:schemeClr>
      <a:schemeClr val="accent5">
        <a:tint val="40000"/>
        <a:alpha val="90000"/>
      </a:schemeClr>
      <a:schemeClr val="accent6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>
      <a:schemeClr val="accent2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>
      <a:schemeClr val="accent3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>
      <a:schemeClr val="accent4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2">
        <a:tint val="40000"/>
      </a:schemeClr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2">
        <a:shade val="90000"/>
      </a:schemeClr>
    </dgm:fillClrLst>
    <dgm:linClrLst meth="repeat">
      <a:schemeClr val="dk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2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2">
        <a:tint val="4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328409B7-CF3F-41A9-8317-EAA083316720}" type="doc">
      <dgm:prSet loTypeId="urn:microsoft.com/office/officeart/2008/layout/NameandTitleOrganizationalChart" loCatId="hierarchy" qsTypeId="urn:microsoft.com/office/officeart/2005/8/quickstyle/3d1" qsCatId="3D" csTypeId="urn:microsoft.com/office/officeart/2005/8/colors/colorful1" csCatId="colorful" phldr="1"/>
      <dgm:spPr/>
      <dgm:t>
        <a:bodyPr/>
        <a:lstStyle/>
        <a:p>
          <a:endParaRPr lang="en-US"/>
        </a:p>
      </dgm:t>
    </dgm:pt>
    <dgm:pt modelId="{24836C96-2B6C-4DDE-A750-377850FC0DFF}">
      <dgm:prSet phldrT="[Text]"/>
      <dgm:spPr/>
      <dgm:t>
        <a:bodyPr/>
        <a:lstStyle/>
        <a:p>
          <a:r>
            <a:rPr lang="en-US"/>
            <a:t>C.(Charlie) Gull</a:t>
          </a:r>
        </a:p>
      </dgm:t>
    </dgm:pt>
    <dgm:pt modelId="{EA8847C6-8909-4AB6-A2C9-EE958DDD2DBB}" type="parTrans" cxnId="{0BA4EBC5-0718-4059-A6DC-44D274ADAD72}">
      <dgm:prSet/>
      <dgm:spPr/>
      <dgm:t>
        <a:bodyPr/>
        <a:lstStyle/>
        <a:p>
          <a:endParaRPr lang="en-US"/>
        </a:p>
      </dgm:t>
    </dgm:pt>
    <dgm:pt modelId="{550AF6A4-E33B-4B3D-AAE3-6CE5CA5CFFBB}" type="sibTrans" cxnId="{0BA4EBC5-0718-4059-A6DC-44D274ADAD72}">
      <dgm:prSet/>
      <dgm:spPr/>
      <dgm:t>
        <a:bodyPr/>
        <a:lstStyle/>
        <a:p>
          <a:r>
            <a:rPr lang="en-US"/>
            <a:t>President</a:t>
          </a:r>
        </a:p>
      </dgm:t>
    </dgm:pt>
    <dgm:pt modelId="{54C7F27B-0FDC-4852-8964-C8930C289FFA}" type="asst">
      <dgm:prSet phldrT="[Text]"/>
      <dgm:spPr/>
      <dgm:t>
        <a:bodyPr/>
        <a:lstStyle/>
        <a:p>
          <a:r>
            <a:rPr lang="en-US"/>
            <a:t>Izzy Gull</a:t>
          </a:r>
        </a:p>
      </dgm:t>
    </dgm:pt>
    <dgm:pt modelId="{77DB8F95-73FF-42B4-BD03-7B56D3A9EBEB}" type="parTrans" cxnId="{939E31FA-48D5-4C57-A67D-4F812DDAD5C1}">
      <dgm:prSet/>
      <dgm:spPr/>
      <dgm:t>
        <a:bodyPr/>
        <a:lstStyle/>
        <a:p>
          <a:endParaRPr lang="en-US"/>
        </a:p>
      </dgm:t>
    </dgm:pt>
    <dgm:pt modelId="{989A4116-E9EB-409D-8175-E04A1E462560}" type="sibTrans" cxnId="{939E31FA-48D5-4C57-A67D-4F812DDAD5C1}">
      <dgm:prSet/>
      <dgm:spPr/>
      <dgm:t>
        <a:bodyPr/>
        <a:lstStyle/>
        <a:p>
          <a:r>
            <a:rPr lang="en-US"/>
            <a:t>Admin</a:t>
          </a:r>
        </a:p>
      </dgm:t>
    </dgm:pt>
    <dgm:pt modelId="{9D7FFB6F-1F04-432F-A843-82E37D9AB8D0}">
      <dgm:prSet phldrT="[Text]"/>
      <dgm:spPr/>
      <dgm:t>
        <a:bodyPr/>
        <a:lstStyle/>
        <a:p>
          <a:r>
            <a:rPr lang="en-US"/>
            <a:t>Henry Gull</a:t>
          </a:r>
        </a:p>
      </dgm:t>
    </dgm:pt>
    <dgm:pt modelId="{A6ED3D0C-8DB5-4710-B8D6-7A2FC89C4532}" type="parTrans" cxnId="{6D3FE7E0-C03C-4EB4-99A9-EF9C0EE6A0F2}">
      <dgm:prSet/>
      <dgm:spPr/>
      <dgm:t>
        <a:bodyPr/>
        <a:lstStyle/>
        <a:p>
          <a:endParaRPr lang="en-US"/>
        </a:p>
      </dgm:t>
    </dgm:pt>
    <dgm:pt modelId="{42B2EB7F-0AA7-46D1-A0AE-D6E2481F3C6A}" type="sibTrans" cxnId="{6D3FE7E0-C03C-4EB4-99A9-EF9C0EE6A0F2}">
      <dgm:prSet/>
      <dgm:spPr/>
      <dgm:t>
        <a:bodyPr/>
        <a:lstStyle/>
        <a:p>
          <a:r>
            <a:rPr lang="en-US"/>
            <a:t>Left Wing</a:t>
          </a:r>
        </a:p>
      </dgm:t>
    </dgm:pt>
    <dgm:pt modelId="{C0BE42BC-C228-40E1-94E2-D1140EBF0BB9}">
      <dgm:prSet phldrT="[Text]"/>
      <dgm:spPr/>
      <dgm:t>
        <a:bodyPr/>
        <a:lstStyle/>
        <a:p>
          <a:r>
            <a:rPr lang="en-US"/>
            <a:t>Madi Gull</a:t>
          </a:r>
        </a:p>
      </dgm:t>
    </dgm:pt>
    <dgm:pt modelId="{3EC93780-5F20-4874-AAFB-C1C6E5E6ABA8}" type="parTrans" cxnId="{F7835ABA-DDB2-4B77-8C17-4FC2E28F310A}">
      <dgm:prSet/>
      <dgm:spPr/>
      <dgm:t>
        <a:bodyPr/>
        <a:lstStyle/>
        <a:p>
          <a:endParaRPr lang="en-US"/>
        </a:p>
      </dgm:t>
    </dgm:pt>
    <dgm:pt modelId="{48F50F8F-C8E9-4328-A96C-0583BCFB2645}" type="sibTrans" cxnId="{F7835ABA-DDB2-4B77-8C17-4FC2E28F310A}">
      <dgm:prSet/>
      <dgm:spPr/>
      <dgm:t>
        <a:bodyPr/>
        <a:lstStyle/>
        <a:p>
          <a:r>
            <a:rPr lang="en-US"/>
            <a:t>Drumstick</a:t>
          </a:r>
        </a:p>
      </dgm:t>
    </dgm:pt>
    <dgm:pt modelId="{5E507D69-6DC6-431F-906A-B65E62F7784C}">
      <dgm:prSet phldrT="[Text]"/>
      <dgm:spPr/>
      <dgm:t>
        <a:bodyPr/>
        <a:lstStyle/>
        <a:p>
          <a:r>
            <a:rPr lang="en-US"/>
            <a:t>Grant Gull</a:t>
          </a:r>
        </a:p>
      </dgm:t>
    </dgm:pt>
    <dgm:pt modelId="{5C1A14B5-20E8-46EA-983F-9E5D3480A570}" type="parTrans" cxnId="{A0E105B4-9D5B-4CE7-BB6D-6D58EB94710A}">
      <dgm:prSet/>
      <dgm:spPr/>
      <dgm:t>
        <a:bodyPr/>
        <a:lstStyle/>
        <a:p>
          <a:endParaRPr lang="en-US"/>
        </a:p>
      </dgm:t>
    </dgm:pt>
    <dgm:pt modelId="{6C308297-6CEF-4F4F-893B-0B64B07D3A40}" type="sibTrans" cxnId="{A0E105B4-9D5B-4CE7-BB6D-6D58EB94710A}">
      <dgm:prSet/>
      <dgm:spPr/>
      <dgm:t>
        <a:bodyPr/>
        <a:lstStyle/>
        <a:p>
          <a:r>
            <a:rPr lang="en-US"/>
            <a:t>Giblets</a:t>
          </a:r>
        </a:p>
      </dgm:t>
    </dgm:pt>
    <dgm:pt modelId="{66F871B1-57B7-4EB2-8312-396A97426B8A}">
      <dgm:prSet/>
      <dgm:spPr/>
      <dgm:t>
        <a:bodyPr/>
        <a:lstStyle/>
        <a:p>
          <a:r>
            <a:rPr lang="en-US"/>
            <a:t>Zach Gull</a:t>
          </a:r>
        </a:p>
      </dgm:t>
    </dgm:pt>
    <dgm:pt modelId="{1881F252-8BB0-413B-BE72-3A79C865EB74}" type="parTrans" cxnId="{08F6841B-ACE9-454E-B5C5-88FD2DB3B817}">
      <dgm:prSet/>
      <dgm:spPr/>
      <dgm:t>
        <a:bodyPr/>
        <a:lstStyle/>
        <a:p>
          <a:endParaRPr lang="en-US"/>
        </a:p>
      </dgm:t>
    </dgm:pt>
    <dgm:pt modelId="{B87CBE5F-A283-4410-A6B4-14747C819F78}" type="sibTrans" cxnId="{08F6841B-ACE9-454E-B5C5-88FD2DB3B817}">
      <dgm:prSet/>
      <dgm:spPr/>
      <dgm:t>
        <a:bodyPr/>
        <a:lstStyle/>
        <a:p>
          <a:r>
            <a:rPr lang="en-US"/>
            <a:t>Right Wing</a:t>
          </a:r>
        </a:p>
      </dgm:t>
    </dgm:pt>
    <dgm:pt modelId="{5597B05E-032C-49EF-B93B-A5EE0B896B21}" type="pres">
      <dgm:prSet presAssocID="{328409B7-CF3F-41A9-8317-EAA083316720}" presName="hierChild1" presStyleCnt="0">
        <dgm:presLayoutVars>
          <dgm:orgChart val="1"/>
          <dgm:chPref val="1"/>
          <dgm:dir/>
          <dgm:animOne val="branch"/>
          <dgm:animLvl val="lvl"/>
          <dgm:resizeHandles/>
        </dgm:presLayoutVars>
      </dgm:prSet>
      <dgm:spPr/>
    </dgm:pt>
    <dgm:pt modelId="{FB503C81-8A77-4056-95E9-7A6008C10DF7}" type="pres">
      <dgm:prSet presAssocID="{24836C96-2B6C-4DDE-A750-377850FC0DFF}" presName="hierRoot1" presStyleCnt="0">
        <dgm:presLayoutVars>
          <dgm:hierBranch val="init"/>
        </dgm:presLayoutVars>
      </dgm:prSet>
      <dgm:spPr/>
    </dgm:pt>
    <dgm:pt modelId="{841FD8AF-E2B4-4055-8B8A-D0C979FE4F10}" type="pres">
      <dgm:prSet presAssocID="{24836C96-2B6C-4DDE-A750-377850FC0DFF}" presName="rootComposite1" presStyleCnt="0"/>
      <dgm:spPr/>
    </dgm:pt>
    <dgm:pt modelId="{A130111D-E82F-42F3-82AC-E8D034356FC8}" type="pres">
      <dgm:prSet presAssocID="{24836C96-2B6C-4DDE-A750-377850FC0DFF}" presName="rootText1" presStyleLbl="node0" presStyleIdx="0" presStyleCnt="1">
        <dgm:presLayoutVars>
          <dgm:chMax/>
          <dgm:chPref val="3"/>
        </dgm:presLayoutVars>
      </dgm:prSet>
      <dgm:spPr/>
    </dgm:pt>
    <dgm:pt modelId="{7AA4F1C7-2522-433A-B245-956AEADCA53E}" type="pres">
      <dgm:prSet presAssocID="{24836C96-2B6C-4DDE-A750-377850FC0DFF}" presName="titleText1" presStyleLbl="fgAcc0" presStyleIdx="0" presStyleCnt="1">
        <dgm:presLayoutVars>
          <dgm:chMax val="0"/>
          <dgm:chPref val="0"/>
        </dgm:presLayoutVars>
      </dgm:prSet>
      <dgm:spPr/>
    </dgm:pt>
    <dgm:pt modelId="{8D9F6DF1-4E5E-4D5C-8345-8382F0C68E08}" type="pres">
      <dgm:prSet presAssocID="{24836C96-2B6C-4DDE-A750-377850FC0DFF}" presName="rootConnector1" presStyleLbl="node1" presStyleIdx="0" presStyleCnt="4"/>
      <dgm:spPr/>
    </dgm:pt>
    <dgm:pt modelId="{75D2AE44-1DC0-4693-A193-1EC22F00223B}" type="pres">
      <dgm:prSet presAssocID="{24836C96-2B6C-4DDE-A750-377850FC0DFF}" presName="hierChild2" presStyleCnt="0"/>
      <dgm:spPr/>
    </dgm:pt>
    <dgm:pt modelId="{3E0891CC-812D-4C25-8A2E-5B6186139B67}" type="pres">
      <dgm:prSet presAssocID="{A6ED3D0C-8DB5-4710-B8D6-7A2FC89C4532}" presName="Name37" presStyleLbl="parChTrans1D2" presStyleIdx="0" presStyleCnt="5"/>
      <dgm:spPr/>
    </dgm:pt>
    <dgm:pt modelId="{B7AF2D0E-5BEC-4388-B2C0-425188A03D0B}" type="pres">
      <dgm:prSet presAssocID="{9D7FFB6F-1F04-432F-A843-82E37D9AB8D0}" presName="hierRoot2" presStyleCnt="0">
        <dgm:presLayoutVars>
          <dgm:hierBranch val="init"/>
        </dgm:presLayoutVars>
      </dgm:prSet>
      <dgm:spPr/>
    </dgm:pt>
    <dgm:pt modelId="{B85A3E47-AE15-4EF2-AE23-D10EFBCA1617}" type="pres">
      <dgm:prSet presAssocID="{9D7FFB6F-1F04-432F-A843-82E37D9AB8D0}" presName="rootComposite" presStyleCnt="0"/>
      <dgm:spPr/>
    </dgm:pt>
    <dgm:pt modelId="{68471A12-0E68-4B1E-BFAF-7A6CD23D7A9B}" type="pres">
      <dgm:prSet presAssocID="{9D7FFB6F-1F04-432F-A843-82E37D9AB8D0}" presName="rootText" presStyleLbl="node1" presStyleIdx="0" presStyleCnt="4">
        <dgm:presLayoutVars>
          <dgm:chMax/>
          <dgm:chPref val="3"/>
        </dgm:presLayoutVars>
      </dgm:prSet>
      <dgm:spPr/>
    </dgm:pt>
    <dgm:pt modelId="{BFD758A2-1E74-4B81-B6D6-11197BDCC055}" type="pres">
      <dgm:prSet presAssocID="{9D7FFB6F-1F04-432F-A843-82E37D9AB8D0}" presName="titleText2" presStyleLbl="fgAcc1" presStyleIdx="0" presStyleCnt="4">
        <dgm:presLayoutVars>
          <dgm:chMax val="0"/>
          <dgm:chPref val="0"/>
        </dgm:presLayoutVars>
      </dgm:prSet>
      <dgm:spPr/>
    </dgm:pt>
    <dgm:pt modelId="{57014995-8F17-4ECB-A6FD-C42F8A6BF19C}" type="pres">
      <dgm:prSet presAssocID="{9D7FFB6F-1F04-432F-A843-82E37D9AB8D0}" presName="rootConnector" presStyleLbl="node2" presStyleIdx="0" presStyleCnt="0"/>
      <dgm:spPr/>
    </dgm:pt>
    <dgm:pt modelId="{5BD3C183-07CF-4052-ADB2-15E95B7564F1}" type="pres">
      <dgm:prSet presAssocID="{9D7FFB6F-1F04-432F-A843-82E37D9AB8D0}" presName="hierChild4" presStyleCnt="0"/>
      <dgm:spPr/>
    </dgm:pt>
    <dgm:pt modelId="{0AADAE5B-7B37-41A1-B4D3-65589D5B8CF8}" type="pres">
      <dgm:prSet presAssocID="{9D7FFB6F-1F04-432F-A843-82E37D9AB8D0}" presName="hierChild5" presStyleCnt="0"/>
      <dgm:spPr/>
    </dgm:pt>
    <dgm:pt modelId="{8E744CEE-D079-45A0-B5FD-798CF92C7ABB}" type="pres">
      <dgm:prSet presAssocID="{3EC93780-5F20-4874-AAFB-C1C6E5E6ABA8}" presName="Name37" presStyleLbl="parChTrans1D2" presStyleIdx="1" presStyleCnt="5"/>
      <dgm:spPr/>
    </dgm:pt>
    <dgm:pt modelId="{D4BB0415-924C-4769-8B25-F60EE6E88FAB}" type="pres">
      <dgm:prSet presAssocID="{C0BE42BC-C228-40E1-94E2-D1140EBF0BB9}" presName="hierRoot2" presStyleCnt="0">
        <dgm:presLayoutVars>
          <dgm:hierBranch val="init"/>
        </dgm:presLayoutVars>
      </dgm:prSet>
      <dgm:spPr/>
    </dgm:pt>
    <dgm:pt modelId="{DF2E5F11-9B72-4FBE-A040-BCA265351276}" type="pres">
      <dgm:prSet presAssocID="{C0BE42BC-C228-40E1-94E2-D1140EBF0BB9}" presName="rootComposite" presStyleCnt="0"/>
      <dgm:spPr/>
    </dgm:pt>
    <dgm:pt modelId="{1EFE2BD0-3BCF-40AA-A21F-8B176D688FFD}" type="pres">
      <dgm:prSet presAssocID="{C0BE42BC-C228-40E1-94E2-D1140EBF0BB9}" presName="rootText" presStyleLbl="node1" presStyleIdx="1" presStyleCnt="4">
        <dgm:presLayoutVars>
          <dgm:chMax/>
          <dgm:chPref val="3"/>
        </dgm:presLayoutVars>
      </dgm:prSet>
      <dgm:spPr/>
    </dgm:pt>
    <dgm:pt modelId="{D197190A-412F-4903-9685-EB83A82F13C5}" type="pres">
      <dgm:prSet presAssocID="{C0BE42BC-C228-40E1-94E2-D1140EBF0BB9}" presName="titleText2" presStyleLbl="fgAcc1" presStyleIdx="1" presStyleCnt="4">
        <dgm:presLayoutVars>
          <dgm:chMax val="0"/>
          <dgm:chPref val="0"/>
        </dgm:presLayoutVars>
      </dgm:prSet>
      <dgm:spPr/>
    </dgm:pt>
    <dgm:pt modelId="{AFD58FBB-E3DC-4B9A-848F-658C88573F95}" type="pres">
      <dgm:prSet presAssocID="{C0BE42BC-C228-40E1-94E2-D1140EBF0BB9}" presName="rootConnector" presStyleLbl="node2" presStyleIdx="0" presStyleCnt="0"/>
      <dgm:spPr/>
    </dgm:pt>
    <dgm:pt modelId="{16E26292-9E8B-4AF8-BB21-C35D4759124F}" type="pres">
      <dgm:prSet presAssocID="{C0BE42BC-C228-40E1-94E2-D1140EBF0BB9}" presName="hierChild4" presStyleCnt="0"/>
      <dgm:spPr/>
    </dgm:pt>
    <dgm:pt modelId="{DD301558-758D-4369-9DF0-A509B7BE88AE}" type="pres">
      <dgm:prSet presAssocID="{C0BE42BC-C228-40E1-94E2-D1140EBF0BB9}" presName="hierChild5" presStyleCnt="0"/>
      <dgm:spPr/>
    </dgm:pt>
    <dgm:pt modelId="{8E877F00-EC48-42EF-B674-DCE9CB399E17}" type="pres">
      <dgm:prSet presAssocID="{5C1A14B5-20E8-46EA-983F-9E5D3480A570}" presName="Name37" presStyleLbl="parChTrans1D2" presStyleIdx="2" presStyleCnt="5"/>
      <dgm:spPr/>
    </dgm:pt>
    <dgm:pt modelId="{17FE1B24-5EBA-4200-B569-21F0D9290F0A}" type="pres">
      <dgm:prSet presAssocID="{5E507D69-6DC6-431F-906A-B65E62F7784C}" presName="hierRoot2" presStyleCnt="0">
        <dgm:presLayoutVars>
          <dgm:hierBranch val="init"/>
        </dgm:presLayoutVars>
      </dgm:prSet>
      <dgm:spPr/>
    </dgm:pt>
    <dgm:pt modelId="{EFFC5186-2575-44DD-A213-5796E112A411}" type="pres">
      <dgm:prSet presAssocID="{5E507D69-6DC6-431F-906A-B65E62F7784C}" presName="rootComposite" presStyleCnt="0"/>
      <dgm:spPr/>
    </dgm:pt>
    <dgm:pt modelId="{92C12777-CCA4-4810-B618-971B10FD0DA7}" type="pres">
      <dgm:prSet presAssocID="{5E507D69-6DC6-431F-906A-B65E62F7784C}" presName="rootText" presStyleLbl="node1" presStyleIdx="2" presStyleCnt="4">
        <dgm:presLayoutVars>
          <dgm:chMax/>
          <dgm:chPref val="3"/>
        </dgm:presLayoutVars>
      </dgm:prSet>
      <dgm:spPr/>
    </dgm:pt>
    <dgm:pt modelId="{CAC24FD5-4EB9-4F2D-9DE0-7885E2BEF8FA}" type="pres">
      <dgm:prSet presAssocID="{5E507D69-6DC6-431F-906A-B65E62F7784C}" presName="titleText2" presStyleLbl="fgAcc1" presStyleIdx="2" presStyleCnt="4">
        <dgm:presLayoutVars>
          <dgm:chMax val="0"/>
          <dgm:chPref val="0"/>
        </dgm:presLayoutVars>
      </dgm:prSet>
      <dgm:spPr/>
    </dgm:pt>
    <dgm:pt modelId="{1C504D7B-364D-4A59-B724-A38D5E28A9D6}" type="pres">
      <dgm:prSet presAssocID="{5E507D69-6DC6-431F-906A-B65E62F7784C}" presName="rootConnector" presStyleLbl="node2" presStyleIdx="0" presStyleCnt="0"/>
      <dgm:spPr/>
    </dgm:pt>
    <dgm:pt modelId="{FB555FF5-8231-49BE-B15D-345FECDBCFBF}" type="pres">
      <dgm:prSet presAssocID="{5E507D69-6DC6-431F-906A-B65E62F7784C}" presName="hierChild4" presStyleCnt="0"/>
      <dgm:spPr/>
    </dgm:pt>
    <dgm:pt modelId="{3B00D6C2-C9B6-4DEA-BEC8-EAC03EBD2EF6}" type="pres">
      <dgm:prSet presAssocID="{5E507D69-6DC6-431F-906A-B65E62F7784C}" presName="hierChild5" presStyleCnt="0"/>
      <dgm:spPr/>
    </dgm:pt>
    <dgm:pt modelId="{E7728579-175A-4848-9F77-7382B71FE42F}" type="pres">
      <dgm:prSet presAssocID="{1881F252-8BB0-413B-BE72-3A79C865EB74}" presName="Name37" presStyleLbl="parChTrans1D2" presStyleIdx="3" presStyleCnt="5"/>
      <dgm:spPr/>
    </dgm:pt>
    <dgm:pt modelId="{77D581C7-7D7C-4DD0-9CFD-946AFFFE3909}" type="pres">
      <dgm:prSet presAssocID="{66F871B1-57B7-4EB2-8312-396A97426B8A}" presName="hierRoot2" presStyleCnt="0">
        <dgm:presLayoutVars>
          <dgm:hierBranch val="init"/>
        </dgm:presLayoutVars>
      </dgm:prSet>
      <dgm:spPr/>
    </dgm:pt>
    <dgm:pt modelId="{6310F39A-0C99-47DE-85CA-0C67CC72E0BC}" type="pres">
      <dgm:prSet presAssocID="{66F871B1-57B7-4EB2-8312-396A97426B8A}" presName="rootComposite" presStyleCnt="0"/>
      <dgm:spPr/>
    </dgm:pt>
    <dgm:pt modelId="{EFBBF893-D952-4818-8E0A-B913062173D9}" type="pres">
      <dgm:prSet presAssocID="{66F871B1-57B7-4EB2-8312-396A97426B8A}" presName="rootText" presStyleLbl="node1" presStyleIdx="3" presStyleCnt="4">
        <dgm:presLayoutVars>
          <dgm:chMax/>
          <dgm:chPref val="3"/>
        </dgm:presLayoutVars>
      </dgm:prSet>
      <dgm:spPr/>
    </dgm:pt>
    <dgm:pt modelId="{4C58BBD6-2B25-41A9-896E-468D24123AB2}" type="pres">
      <dgm:prSet presAssocID="{66F871B1-57B7-4EB2-8312-396A97426B8A}" presName="titleText2" presStyleLbl="fgAcc1" presStyleIdx="3" presStyleCnt="4">
        <dgm:presLayoutVars>
          <dgm:chMax val="0"/>
          <dgm:chPref val="0"/>
        </dgm:presLayoutVars>
      </dgm:prSet>
      <dgm:spPr/>
    </dgm:pt>
    <dgm:pt modelId="{8C90CEDB-73FF-4F22-9EF1-89BBEC8F30F4}" type="pres">
      <dgm:prSet presAssocID="{66F871B1-57B7-4EB2-8312-396A97426B8A}" presName="rootConnector" presStyleLbl="node2" presStyleIdx="0" presStyleCnt="0"/>
      <dgm:spPr/>
    </dgm:pt>
    <dgm:pt modelId="{5A0382B2-B66F-4C6D-B015-C8DCDB97B103}" type="pres">
      <dgm:prSet presAssocID="{66F871B1-57B7-4EB2-8312-396A97426B8A}" presName="hierChild4" presStyleCnt="0"/>
      <dgm:spPr/>
    </dgm:pt>
    <dgm:pt modelId="{EED04FC5-0D68-4507-A7E7-4C73C66ECACD}" type="pres">
      <dgm:prSet presAssocID="{66F871B1-57B7-4EB2-8312-396A97426B8A}" presName="hierChild5" presStyleCnt="0"/>
      <dgm:spPr/>
    </dgm:pt>
    <dgm:pt modelId="{2049CA7F-CD43-457E-B9C7-65CA79E0BE0B}" type="pres">
      <dgm:prSet presAssocID="{24836C96-2B6C-4DDE-A750-377850FC0DFF}" presName="hierChild3" presStyleCnt="0"/>
      <dgm:spPr/>
    </dgm:pt>
    <dgm:pt modelId="{80D90170-508B-47A1-AC4B-756E2104D446}" type="pres">
      <dgm:prSet presAssocID="{77DB8F95-73FF-42B4-BD03-7B56D3A9EBEB}" presName="Name96" presStyleLbl="parChTrans1D2" presStyleIdx="4" presStyleCnt="5"/>
      <dgm:spPr/>
    </dgm:pt>
    <dgm:pt modelId="{C825A824-6341-4789-8DFD-5EE0999D381D}" type="pres">
      <dgm:prSet presAssocID="{54C7F27B-0FDC-4852-8964-C8930C289FFA}" presName="hierRoot3" presStyleCnt="0">
        <dgm:presLayoutVars>
          <dgm:hierBranch val="init"/>
        </dgm:presLayoutVars>
      </dgm:prSet>
      <dgm:spPr/>
    </dgm:pt>
    <dgm:pt modelId="{7B885B8E-2740-4E63-81C4-4881E41C0260}" type="pres">
      <dgm:prSet presAssocID="{54C7F27B-0FDC-4852-8964-C8930C289FFA}" presName="rootComposite3" presStyleCnt="0"/>
      <dgm:spPr/>
    </dgm:pt>
    <dgm:pt modelId="{9C585D2D-3758-4280-8313-09EDFD2F56C2}" type="pres">
      <dgm:prSet presAssocID="{54C7F27B-0FDC-4852-8964-C8930C289FFA}" presName="rootText3" presStyleLbl="asst1" presStyleIdx="0" presStyleCnt="1">
        <dgm:presLayoutVars>
          <dgm:chPref val="3"/>
        </dgm:presLayoutVars>
      </dgm:prSet>
      <dgm:spPr/>
    </dgm:pt>
    <dgm:pt modelId="{7748C187-D432-472C-917A-E12C678F16A0}" type="pres">
      <dgm:prSet presAssocID="{54C7F27B-0FDC-4852-8964-C8930C289FFA}" presName="titleText3" presStyleLbl="fgAcc2" presStyleIdx="0" presStyleCnt="1">
        <dgm:presLayoutVars>
          <dgm:chMax val="0"/>
          <dgm:chPref val="0"/>
        </dgm:presLayoutVars>
      </dgm:prSet>
      <dgm:spPr/>
    </dgm:pt>
    <dgm:pt modelId="{5BFF92CE-D73C-4907-9A77-4AB7D20E9C90}" type="pres">
      <dgm:prSet presAssocID="{54C7F27B-0FDC-4852-8964-C8930C289FFA}" presName="rootConnector3" presStyleLbl="asst1" presStyleIdx="0" presStyleCnt="1"/>
      <dgm:spPr/>
    </dgm:pt>
    <dgm:pt modelId="{C90055CA-CBC5-4493-8100-7B268DB61400}" type="pres">
      <dgm:prSet presAssocID="{54C7F27B-0FDC-4852-8964-C8930C289FFA}" presName="hierChild6" presStyleCnt="0"/>
      <dgm:spPr/>
    </dgm:pt>
    <dgm:pt modelId="{03C55DB8-F74F-4D11-B1D3-D58411E637F0}" type="pres">
      <dgm:prSet presAssocID="{54C7F27B-0FDC-4852-8964-C8930C289FFA}" presName="hierChild7" presStyleCnt="0"/>
      <dgm:spPr/>
    </dgm:pt>
  </dgm:ptLst>
  <dgm:cxnLst>
    <dgm:cxn modelId="{E6822C0F-6DC9-460F-B299-956ACFF6C118}" type="presOf" srcId="{B87CBE5F-A283-4410-A6B4-14747C819F78}" destId="{4C58BBD6-2B25-41A9-896E-468D24123AB2}" srcOrd="0" destOrd="0" presId="urn:microsoft.com/office/officeart/2008/layout/NameandTitleOrganizationalChart"/>
    <dgm:cxn modelId="{08F6841B-ACE9-454E-B5C5-88FD2DB3B817}" srcId="{24836C96-2B6C-4DDE-A750-377850FC0DFF}" destId="{66F871B1-57B7-4EB2-8312-396A97426B8A}" srcOrd="4" destOrd="0" parTransId="{1881F252-8BB0-413B-BE72-3A79C865EB74}" sibTransId="{B87CBE5F-A283-4410-A6B4-14747C819F78}"/>
    <dgm:cxn modelId="{BAAF031D-3063-48FA-A83C-4C69CFA62AA1}" type="presOf" srcId="{989A4116-E9EB-409D-8175-E04A1E462560}" destId="{7748C187-D432-472C-917A-E12C678F16A0}" srcOrd="0" destOrd="0" presId="urn:microsoft.com/office/officeart/2008/layout/NameandTitleOrganizationalChart"/>
    <dgm:cxn modelId="{B3D4851E-0D7E-4972-80E3-CD94DAD465AB}" type="presOf" srcId="{9D7FFB6F-1F04-432F-A843-82E37D9AB8D0}" destId="{68471A12-0E68-4B1E-BFAF-7A6CD23D7A9B}" srcOrd="0" destOrd="0" presId="urn:microsoft.com/office/officeart/2008/layout/NameandTitleOrganizationalChart"/>
    <dgm:cxn modelId="{EA39AC38-D682-4AB1-9D79-6A9C8C81DCD2}" type="presOf" srcId="{1881F252-8BB0-413B-BE72-3A79C865EB74}" destId="{E7728579-175A-4848-9F77-7382B71FE42F}" srcOrd="0" destOrd="0" presId="urn:microsoft.com/office/officeart/2008/layout/NameandTitleOrganizationalChart"/>
    <dgm:cxn modelId="{1D78893A-3B1B-4C92-9555-91300BBF791B}" type="presOf" srcId="{5C1A14B5-20E8-46EA-983F-9E5D3480A570}" destId="{8E877F00-EC48-42EF-B674-DCE9CB399E17}" srcOrd="0" destOrd="0" presId="urn:microsoft.com/office/officeart/2008/layout/NameandTitleOrganizationalChart"/>
    <dgm:cxn modelId="{EDFAC840-9716-469A-9891-9EABC08C31E3}" type="presOf" srcId="{C0BE42BC-C228-40E1-94E2-D1140EBF0BB9}" destId="{AFD58FBB-E3DC-4B9A-848F-658C88573F95}" srcOrd="1" destOrd="0" presId="urn:microsoft.com/office/officeart/2008/layout/NameandTitleOrganizationalChart"/>
    <dgm:cxn modelId="{D28E9C63-BA33-4D05-88EF-57F4BB512660}" type="presOf" srcId="{A6ED3D0C-8DB5-4710-B8D6-7A2FC89C4532}" destId="{3E0891CC-812D-4C25-8A2E-5B6186139B67}" srcOrd="0" destOrd="0" presId="urn:microsoft.com/office/officeart/2008/layout/NameandTitleOrganizationalChart"/>
    <dgm:cxn modelId="{5D887946-0E38-4418-8AE2-3E43B81AAC8D}" type="presOf" srcId="{5E507D69-6DC6-431F-906A-B65E62F7784C}" destId="{1C504D7B-364D-4A59-B724-A38D5E28A9D6}" srcOrd="1" destOrd="0" presId="urn:microsoft.com/office/officeart/2008/layout/NameandTitleOrganizationalChart"/>
    <dgm:cxn modelId="{53EF4E69-EF61-46BD-90CD-1EC958E73A56}" type="presOf" srcId="{54C7F27B-0FDC-4852-8964-C8930C289FFA}" destId="{5BFF92CE-D73C-4907-9A77-4AB7D20E9C90}" srcOrd="1" destOrd="0" presId="urn:microsoft.com/office/officeart/2008/layout/NameandTitleOrganizationalChart"/>
    <dgm:cxn modelId="{6F2AFE4B-E1DF-463A-9D6D-1249B8915321}" type="presOf" srcId="{328409B7-CF3F-41A9-8317-EAA083316720}" destId="{5597B05E-032C-49EF-B93B-A5EE0B896B21}" srcOrd="0" destOrd="0" presId="urn:microsoft.com/office/officeart/2008/layout/NameandTitleOrganizationalChart"/>
    <dgm:cxn modelId="{032B4174-5CA8-4932-9EB7-03E1C26C064E}" type="presOf" srcId="{9D7FFB6F-1F04-432F-A843-82E37D9AB8D0}" destId="{57014995-8F17-4ECB-A6FD-C42F8A6BF19C}" srcOrd="1" destOrd="0" presId="urn:microsoft.com/office/officeart/2008/layout/NameandTitleOrganizationalChart"/>
    <dgm:cxn modelId="{7DEC9C5A-A9E2-4489-848A-0DC4CC7EF3E8}" type="presOf" srcId="{5E507D69-6DC6-431F-906A-B65E62F7784C}" destId="{92C12777-CCA4-4810-B618-971B10FD0DA7}" srcOrd="0" destOrd="0" presId="urn:microsoft.com/office/officeart/2008/layout/NameandTitleOrganizationalChart"/>
    <dgm:cxn modelId="{768B8F90-B477-4A1D-A931-85920F32AF10}" type="presOf" srcId="{77DB8F95-73FF-42B4-BD03-7B56D3A9EBEB}" destId="{80D90170-508B-47A1-AC4B-756E2104D446}" srcOrd="0" destOrd="0" presId="urn:microsoft.com/office/officeart/2008/layout/NameandTitleOrganizationalChart"/>
    <dgm:cxn modelId="{B69A3EA8-885A-4700-8C53-30437412C42D}" type="presOf" srcId="{24836C96-2B6C-4DDE-A750-377850FC0DFF}" destId="{8D9F6DF1-4E5E-4D5C-8345-8382F0C68E08}" srcOrd="1" destOrd="0" presId="urn:microsoft.com/office/officeart/2008/layout/NameandTitleOrganizationalChart"/>
    <dgm:cxn modelId="{263A85AC-8B5E-436F-8329-2177F3AD36BA}" type="presOf" srcId="{6C308297-6CEF-4F4F-893B-0B64B07D3A40}" destId="{CAC24FD5-4EB9-4F2D-9DE0-7885E2BEF8FA}" srcOrd="0" destOrd="0" presId="urn:microsoft.com/office/officeart/2008/layout/NameandTitleOrganizationalChart"/>
    <dgm:cxn modelId="{A0E105B4-9D5B-4CE7-BB6D-6D58EB94710A}" srcId="{24836C96-2B6C-4DDE-A750-377850FC0DFF}" destId="{5E507D69-6DC6-431F-906A-B65E62F7784C}" srcOrd="3" destOrd="0" parTransId="{5C1A14B5-20E8-46EA-983F-9E5D3480A570}" sibTransId="{6C308297-6CEF-4F4F-893B-0B64B07D3A40}"/>
    <dgm:cxn modelId="{0721CDB9-44A7-4E29-B049-E4130D5F52C3}" type="presOf" srcId="{66F871B1-57B7-4EB2-8312-396A97426B8A}" destId="{EFBBF893-D952-4818-8E0A-B913062173D9}" srcOrd="0" destOrd="0" presId="urn:microsoft.com/office/officeart/2008/layout/NameandTitleOrganizationalChart"/>
    <dgm:cxn modelId="{F7835ABA-DDB2-4B77-8C17-4FC2E28F310A}" srcId="{24836C96-2B6C-4DDE-A750-377850FC0DFF}" destId="{C0BE42BC-C228-40E1-94E2-D1140EBF0BB9}" srcOrd="2" destOrd="0" parTransId="{3EC93780-5F20-4874-AAFB-C1C6E5E6ABA8}" sibTransId="{48F50F8F-C8E9-4328-A96C-0583BCFB2645}"/>
    <dgm:cxn modelId="{04014DBC-A504-46C7-84DD-AA9B2167E300}" type="presOf" srcId="{66F871B1-57B7-4EB2-8312-396A97426B8A}" destId="{8C90CEDB-73FF-4F22-9EF1-89BBEC8F30F4}" srcOrd="1" destOrd="0" presId="urn:microsoft.com/office/officeart/2008/layout/NameandTitleOrganizationalChart"/>
    <dgm:cxn modelId="{6BC322C1-6E21-499D-8E23-31C9065F3EA6}" type="presOf" srcId="{48F50F8F-C8E9-4328-A96C-0583BCFB2645}" destId="{D197190A-412F-4903-9685-EB83A82F13C5}" srcOrd="0" destOrd="0" presId="urn:microsoft.com/office/officeart/2008/layout/NameandTitleOrganizationalChart"/>
    <dgm:cxn modelId="{0BA4EBC5-0718-4059-A6DC-44D274ADAD72}" srcId="{328409B7-CF3F-41A9-8317-EAA083316720}" destId="{24836C96-2B6C-4DDE-A750-377850FC0DFF}" srcOrd="0" destOrd="0" parTransId="{EA8847C6-8909-4AB6-A2C9-EE958DDD2DBB}" sibTransId="{550AF6A4-E33B-4B3D-AAE3-6CE5CA5CFFBB}"/>
    <dgm:cxn modelId="{7DBBA9C7-86E1-477F-9E78-92B7EAF7E3CB}" type="presOf" srcId="{24836C96-2B6C-4DDE-A750-377850FC0DFF}" destId="{A130111D-E82F-42F3-82AC-E8D034356FC8}" srcOrd="0" destOrd="0" presId="urn:microsoft.com/office/officeart/2008/layout/NameandTitleOrganizationalChart"/>
    <dgm:cxn modelId="{7358BFCD-215C-4D45-8A3E-307A448C6A9B}" type="presOf" srcId="{3EC93780-5F20-4874-AAFB-C1C6E5E6ABA8}" destId="{8E744CEE-D079-45A0-B5FD-798CF92C7ABB}" srcOrd="0" destOrd="0" presId="urn:microsoft.com/office/officeart/2008/layout/NameandTitleOrganizationalChart"/>
    <dgm:cxn modelId="{AAACB8DF-6867-4567-99EC-EAE95ABFAFEA}" type="presOf" srcId="{54C7F27B-0FDC-4852-8964-C8930C289FFA}" destId="{9C585D2D-3758-4280-8313-09EDFD2F56C2}" srcOrd="0" destOrd="0" presId="urn:microsoft.com/office/officeart/2008/layout/NameandTitleOrganizationalChart"/>
    <dgm:cxn modelId="{6D3FE7E0-C03C-4EB4-99A9-EF9C0EE6A0F2}" srcId="{24836C96-2B6C-4DDE-A750-377850FC0DFF}" destId="{9D7FFB6F-1F04-432F-A843-82E37D9AB8D0}" srcOrd="1" destOrd="0" parTransId="{A6ED3D0C-8DB5-4710-B8D6-7A2FC89C4532}" sibTransId="{42B2EB7F-0AA7-46D1-A0AE-D6E2481F3C6A}"/>
    <dgm:cxn modelId="{035ED4F5-5D9C-48DC-BB13-E3ED27FE95CA}" type="presOf" srcId="{550AF6A4-E33B-4B3D-AAE3-6CE5CA5CFFBB}" destId="{7AA4F1C7-2522-433A-B245-956AEADCA53E}" srcOrd="0" destOrd="0" presId="urn:microsoft.com/office/officeart/2008/layout/NameandTitleOrganizationalChart"/>
    <dgm:cxn modelId="{EF7F31F8-EEC8-4262-A7FB-8C454B779C99}" type="presOf" srcId="{C0BE42BC-C228-40E1-94E2-D1140EBF0BB9}" destId="{1EFE2BD0-3BCF-40AA-A21F-8B176D688FFD}" srcOrd="0" destOrd="0" presId="urn:microsoft.com/office/officeart/2008/layout/NameandTitleOrganizationalChart"/>
    <dgm:cxn modelId="{939E31FA-48D5-4C57-A67D-4F812DDAD5C1}" srcId="{24836C96-2B6C-4DDE-A750-377850FC0DFF}" destId="{54C7F27B-0FDC-4852-8964-C8930C289FFA}" srcOrd="0" destOrd="0" parTransId="{77DB8F95-73FF-42B4-BD03-7B56D3A9EBEB}" sibTransId="{989A4116-E9EB-409D-8175-E04A1E462560}"/>
    <dgm:cxn modelId="{88B945FD-1C84-4F8A-AEF2-9E569D25E5C7}" type="presOf" srcId="{42B2EB7F-0AA7-46D1-A0AE-D6E2481F3C6A}" destId="{BFD758A2-1E74-4B81-B6D6-11197BDCC055}" srcOrd="0" destOrd="0" presId="urn:microsoft.com/office/officeart/2008/layout/NameandTitleOrganizationalChart"/>
    <dgm:cxn modelId="{E7AE6478-24C4-41CF-8D6C-0E457D655345}" type="presParOf" srcId="{5597B05E-032C-49EF-B93B-A5EE0B896B21}" destId="{FB503C81-8A77-4056-95E9-7A6008C10DF7}" srcOrd="0" destOrd="0" presId="urn:microsoft.com/office/officeart/2008/layout/NameandTitleOrganizationalChart"/>
    <dgm:cxn modelId="{4BAF4B56-20AC-4016-B723-4BBF37006AAB}" type="presParOf" srcId="{FB503C81-8A77-4056-95E9-7A6008C10DF7}" destId="{841FD8AF-E2B4-4055-8B8A-D0C979FE4F10}" srcOrd="0" destOrd="0" presId="urn:microsoft.com/office/officeart/2008/layout/NameandTitleOrganizationalChart"/>
    <dgm:cxn modelId="{16F68546-EFAE-4008-AA5D-45F3C5B3BE04}" type="presParOf" srcId="{841FD8AF-E2B4-4055-8B8A-D0C979FE4F10}" destId="{A130111D-E82F-42F3-82AC-E8D034356FC8}" srcOrd="0" destOrd="0" presId="urn:microsoft.com/office/officeart/2008/layout/NameandTitleOrganizationalChart"/>
    <dgm:cxn modelId="{35928A58-C68F-48AB-A503-F3019A01F6D2}" type="presParOf" srcId="{841FD8AF-E2B4-4055-8B8A-D0C979FE4F10}" destId="{7AA4F1C7-2522-433A-B245-956AEADCA53E}" srcOrd="1" destOrd="0" presId="urn:microsoft.com/office/officeart/2008/layout/NameandTitleOrganizationalChart"/>
    <dgm:cxn modelId="{C2C77774-C7C7-4865-B413-5637C7944932}" type="presParOf" srcId="{841FD8AF-E2B4-4055-8B8A-D0C979FE4F10}" destId="{8D9F6DF1-4E5E-4D5C-8345-8382F0C68E08}" srcOrd="2" destOrd="0" presId="urn:microsoft.com/office/officeart/2008/layout/NameandTitleOrganizationalChart"/>
    <dgm:cxn modelId="{84064282-B66E-4093-8809-D1F3D76CE4E6}" type="presParOf" srcId="{FB503C81-8A77-4056-95E9-7A6008C10DF7}" destId="{75D2AE44-1DC0-4693-A193-1EC22F00223B}" srcOrd="1" destOrd="0" presId="urn:microsoft.com/office/officeart/2008/layout/NameandTitleOrganizationalChart"/>
    <dgm:cxn modelId="{D43CE657-2EB1-4EB2-87E8-8DA92C0AA04D}" type="presParOf" srcId="{75D2AE44-1DC0-4693-A193-1EC22F00223B}" destId="{3E0891CC-812D-4C25-8A2E-5B6186139B67}" srcOrd="0" destOrd="0" presId="urn:microsoft.com/office/officeart/2008/layout/NameandTitleOrganizationalChart"/>
    <dgm:cxn modelId="{D1C55093-3EB3-4A4F-B4A9-DDF6606BBD84}" type="presParOf" srcId="{75D2AE44-1DC0-4693-A193-1EC22F00223B}" destId="{B7AF2D0E-5BEC-4388-B2C0-425188A03D0B}" srcOrd="1" destOrd="0" presId="urn:microsoft.com/office/officeart/2008/layout/NameandTitleOrganizationalChart"/>
    <dgm:cxn modelId="{FD43F172-FA4D-41D0-8EB2-DBF47C18A778}" type="presParOf" srcId="{B7AF2D0E-5BEC-4388-B2C0-425188A03D0B}" destId="{B85A3E47-AE15-4EF2-AE23-D10EFBCA1617}" srcOrd="0" destOrd="0" presId="urn:microsoft.com/office/officeart/2008/layout/NameandTitleOrganizationalChart"/>
    <dgm:cxn modelId="{30E1B39B-65FA-4DC1-AEDA-607608B88D93}" type="presParOf" srcId="{B85A3E47-AE15-4EF2-AE23-D10EFBCA1617}" destId="{68471A12-0E68-4B1E-BFAF-7A6CD23D7A9B}" srcOrd="0" destOrd="0" presId="urn:microsoft.com/office/officeart/2008/layout/NameandTitleOrganizationalChart"/>
    <dgm:cxn modelId="{470CBBAD-C7FA-4C97-B240-48D399E6B4C1}" type="presParOf" srcId="{B85A3E47-AE15-4EF2-AE23-D10EFBCA1617}" destId="{BFD758A2-1E74-4B81-B6D6-11197BDCC055}" srcOrd="1" destOrd="0" presId="urn:microsoft.com/office/officeart/2008/layout/NameandTitleOrganizationalChart"/>
    <dgm:cxn modelId="{6E569327-8187-47B4-A880-F9EF6CD3D746}" type="presParOf" srcId="{B85A3E47-AE15-4EF2-AE23-D10EFBCA1617}" destId="{57014995-8F17-4ECB-A6FD-C42F8A6BF19C}" srcOrd="2" destOrd="0" presId="urn:microsoft.com/office/officeart/2008/layout/NameandTitleOrganizationalChart"/>
    <dgm:cxn modelId="{4BF32094-651B-42FB-822B-67C493542D8C}" type="presParOf" srcId="{B7AF2D0E-5BEC-4388-B2C0-425188A03D0B}" destId="{5BD3C183-07CF-4052-ADB2-15E95B7564F1}" srcOrd="1" destOrd="0" presId="urn:microsoft.com/office/officeart/2008/layout/NameandTitleOrganizationalChart"/>
    <dgm:cxn modelId="{ABBF56E7-D964-4A61-96A4-F1A6E68455C5}" type="presParOf" srcId="{B7AF2D0E-5BEC-4388-B2C0-425188A03D0B}" destId="{0AADAE5B-7B37-41A1-B4D3-65589D5B8CF8}" srcOrd="2" destOrd="0" presId="urn:microsoft.com/office/officeart/2008/layout/NameandTitleOrganizationalChart"/>
    <dgm:cxn modelId="{A7E8DAE3-A346-4C9D-904A-8CB711BF67F7}" type="presParOf" srcId="{75D2AE44-1DC0-4693-A193-1EC22F00223B}" destId="{8E744CEE-D079-45A0-B5FD-798CF92C7ABB}" srcOrd="2" destOrd="0" presId="urn:microsoft.com/office/officeart/2008/layout/NameandTitleOrganizationalChart"/>
    <dgm:cxn modelId="{EBEF333F-CAC1-4F73-8438-AF10148569A7}" type="presParOf" srcId="{75D2AE44-1DC0-4693-A193-1EC22F00223B}" destId="{D4BB0415-924C-4769-8B25-F60EE6E88FAB}" srcOrd="3" destOrd="0" presId="urn:microsoft.com/office/officeart/2008/layout/NameandTitleOrganizationalChart"/>
    <dgm:cxn modelId="{EE2F9AF1-8637-4B44-B2B2-3C82ED799DD7}" type="presParOf" srcId="{D4BB0415-924C-4769-8B25-F60EE6E88FAB}" destId="{DF2E5F11-9B72-4FBE-A040-BCA265351276}" srcOrd="0" destOrd="0" presId="urn:microsoft.com/office/officeart/2008/layout/NameandTitleOrganizationalChart"/>
    <dgm:cxn modelId="{0A8296BA-AFE3-4A57-8048-FCAFA584D397}" type="presParOf" srcId="{DF2E5F11-9B72-4FBE-A040-BCA265351276}" destId="{1EFE2BD0-3BCF-40AA-A21F-8B176D688FFD}" srcOrd="0" destOrd="0" presId="urn:microsoft.com/office/officeart/2008/layout/NameandTitleOrganizationalChart"/>
    <dgm:cxn modelId="{B3BCEEEA-29EC-4260-8D3D-E64E728C56DF}" type="presParOf" srcId="{DF2E5F11-9B72-4FBE-A040-BCA265351276}" destId="{D197190A-412F-4903-9685-EB83A82F13C5}" srcOrd="1" destOrd="0" presId="urn:microsoft.com/office/officeart/2008/layout/NameandTitleOrganizationalChart"/>
    <dgm:cxn modelId="{E4B57831-A85C-4DE0-AF12-CBA9B0056D89}" type="presParOf" srcId="{DF2E5F11-9B72-4FBE-A040-BCA265351276}" destId="{AFD58FBB-E3DC-4B9A-848F-658C88573F95}" srcOrd="2" destOrd="0" presId="urn:microsoft.com/office/officeart/2008/layout/NameandTitleOrganizationalChart"/>
    <dgm:cxn modelId="{66C92567-4007-4AD6-BB38-913153B1FCE8}" type="presParOf" srcId="{D4BB0415-924C-4769-8B25-F60EE6E88FAB}" destId="{16E26292-9E8B-4AF8-BB21-C35D4759124F}" srcOrd="1" destOrd="0" presId="urn:microsoft.com/office/officeart/2008/layout/NameandTitleOrganizationalChart"/>
    <dgm:cxn modelId="{6A5278A5-A70A-48CE-9A80-2B5C347117DD}" type="presParOf" srcId="{D4BB0415-924C-4769-8B25-F60EE6E88FAB}" destId="{DD301558-758D-4369-9DF0-A509B7BE88AE}" srcOrd="2" destOrd="0" presId="urn:microsoft.com/office/officeart/2008/layout/NameandTitleOrganizationalChart"/>
    <dgm:cxn modelId="{AE601164-5B5C-449F-B39F-984D3BCABB7E}" type="presParOf" srcId="{75D2AE44-1DC0-4693-A193-1EC22F00223B}" destId="{8E877F00-EC48-42EF-B674-DCE9CB399E17}" srcOrd="4" destOrd="0" presId="urn:microsoft.com/office/officeart/2008/layout/NameandTitleOrganizationalChart"/>
    <dgm:cxn modelId="{2B6A503E-E3AA-4730-9D57-D97D1ACD20CB}" type="presParOf" srcId="{75D2AE44-1DC0-4693-A193-1EC22F00223B}" destId="{17FE1B24-5EBA-4200-B569-21F0D9290F0A}" srcOrd="5" destOrd="0" presId="urn:microsoft.com/office/officeart/2008/layout/NameandTitleOrganizationalChart"/>
    <dgm:cxn modelId="{2A5AF088-6C79-481B-8F1E-6356C1772C12}" type="presParOf" srcId="{17FE1B24-5EBA-4200-B569-21F0D9290F0A}" destId="{EFFC5186-2575-44DD-A213-5796E112A411}" srcOrd="0" destOrd="0" presId="urn:microsoft.com/office/officeart/2008/layout/NameandTitleOrganizationalChart"/>
    <dgm:cxn modelId="{3D6DD29D-0B48-44F7-A592-ABC4B3441AC5}" type="presParOf" srcId="{EFFC5186-2575-44DD-A213-5796E112A411}" destId="{92C12777-CCA4-4810-B618-971B10FD0DA7}" srcOrd="0" destOrd="0" presId="urn:microsoft.com/office/officeart/2008/layout/NameandTitleOrganizationalChart"/>
    <dgm:cxn modelId="{C2D36F30-BE6A-4761-8A79-E557CB500744}" type="presParOf" srcId="{EFFC5186-2575-44DD-A213-5796E112A411}" destId="{CAC24FD5-4EB9-4F2D-9DE0-7885E2BEF8FA}" srcOrd="1" destOrd="0" presId="urn:microsoft.com/office/officeart/2008/layout/NameandTitleOrganizationalChart"/>
    <dgm:cxn modelId="{24C9DB97-32DD-4443-B315-4B053B28DF29}" type="presParOf" srcId="{EFFC5186-2575-44DD-A213-5796E112A411}" destId="{1C504D7B-364D-4A59-B724-A38D5E28A9D6}" srcOrd="2" destOrd="0" presId="urn:microsoft.com/office/officeart/2008/layout/NameandTitleOrganizationalChart"/>
    <dgm:cxn modelId="{3AC7090D-F00D-42A6-9C13-27C26341FE25}" type="presParOf" srcId="{17FE1B24-5EBA-4200-B569-21F0D9290F0A}" destId="{FB555FF5-8231-49BE-B15D-345FECDBCFBF}" srcOrd="1" destOrd="0" presId="urn:microsoft.com/office/officeart/2008/layout/NameandTitleOrganizationalChart"/>
    <dgm:cxn modelId="{35B931F0-7825-491F-8418-BE5AC55857C3}" type="presParOf" srcId="{17FE1B24-5EBA-4200-B569-21F0D9290F0A}" destId="{3B00D6C2-C9B6-4DEA-BEC8-EAC03EBD2EF6}" srcOrd="2" destOrd="0" presId="urn:microsoft.com/office/officeart/2008/layout/NameandTitleOrganizationalChart"/>
    <dgm:cxn modelId="{D776FF4F-48DF-454A-83CB-09B4F9AF6A3E}" type="presParOf" srcId="{75D2AE44-1DC0-4693-A193-1EC22F00223B}" destId="{E7728579-175A-4848-9F77-7382B71FE42F}" srcOrd="6" destOrd="0" presId="urn:microsoft.com/office/officeart/2008/layout/NameandTitleOrganizationalChart"/>
    <dgm:cxn modelId="{1E3E4048-4881-4F35-B0D2-DD06443B475F}" type="presParOf" srcId="{75D2AE44-1DC0-4693-A193-1EC22F00223B}" destId="{77D581C7-7D7C-4DD0-9CFD-946AFFFE3909}" srcOrd="7" destOrd="0" presId="urn:microsoft.com/office/officeart/2008/layout/NameandTitleOrganizationalChart"/>
    <dgm:cxn modelId="{40E02A1E-20BF-4161-AB6B-7F5745A3F52A}" type="presParOf" srcId="{77D581C7-7D7C-4DD0-9CFD-946AFFFE3909}" destId="{6310F39A-0C99-47DE-85CA-0C67CC72E0BC}" srcOrd="0" destOrd="0" presId="urn:microsoft.com/office/officeart/2008/layout/NameandTitleOrganizationalChart"/>
    <dgm:cxn modelId="{0DE3E61A-F99B-4E1D-833F-0EF7837C245A}" type="presParOf" srcId="{6310F39A-0C99-47DE-85CA-0C67CC72E0BC}" destId="{EFBBF893-D952-4818-8E0A-B913062173D9}" srcOrd="0" destOrd="0" presId="urn:microsoft.com/office/officeart/2008/layout/NameandTitleOrganizationalChart"/>
    <dgm:cxn modelId="{4E5DA121-FDA6-4590-81B8-3BADF23878C7}" type="presParOf" srcId="{6310F39A-0C99-47DE-85CA-0C67CC72E0BC}" destId="{4C58BBD6-2B25-41A9-896E-468D24123AB2}" srcOrd="1" destOrd="0" presId="urn:microsoft.com/office/officeart/2008/layout/NameandTitleOrganizationalChart"/>
    <dgm:cxn modelId="{9D7594A9-378B-427B-8AA3-26834D30DD2A}" type="presParOf" srcId="{6310F39A-0C99-47DE-85CA-0C67CC72E0BC}" destId="{8C90CEDB-73FF-4F22-9EF1-89BBEC8F30F4}" srcOrd="2" destOrd="0" presId="urn:microsoft.com/office/officeart/2008/layout/NameandTitleOrganizationalChart"/>
    <dgm:cxn modelId="{A5303363-463B-45C9-A984-E39353D21BF6}" type="presParOf" srcId="{77D581C7-7D7C-4DD0-9CFD-946AFFFE3909}" destId="{5A0382B2-B66F-4C6D-B015-C8DCDB97B103}" srcOrd="1" destOrd="0" presId="urn:microsoft.com/office/officeart/2008/layout/NameandTitleOrganizationalChart"/>
    <dgm:cxn modelId="{8C1C9D1B-CE24-4D41-A9DD-964EB2B857B6}" type="presParOf" srcId="{77D581C7-7D7C-4DD0-9CFD-946AFFFE3909}" destId="{EED04FC5-0D68-4507-A7E7-4C73C66ECACD}" srcOrd="2" destOrd="0" presId="urn:microsoft.com/office/officeart/2008/layout/NameandTitleOrganizationalChart"/>
    <dgm:cxn modelId="{0E0295DF-3369-4838-B20B-EF5FED7C0DEC}" type="presParOf" srcId="{FB503C81-8A77-4056-95E9-7A6008C10DF7}" destId="{2049CA7F-CD43-457E-B9C7-65CA79E0BE0B}" srcOrd="2" destOrd="0" presId="urn:microsoft.com/office/officeart/2008/layout/NameandTitleOrganizationalChart"/>
    <dgm:cxn modelId="{3690466C-F6BF-4B56-866A-B13C4AD7CB3D}" type="presParOf" srcId="{2049CA7F-CD43-457E-B9C7-65CA79E0BE0B}" destId="{80D90170-508B-47A1-AC4B-756E2104D446}" srcOrd="0" destOrd="0" presId="urn:microsoft.com/office/officeart/2008/layout/NameandTitleOrganizationalChart"/>
    <dgm:cxn modelId="{8F49D405-53AF-4309-A9C7-85D2B2D9C8C5}" type="presParOf" srcId="{2049CA7F-CD43-457E-B9C7-65CA79E0BE0B}" destId="{C825A824-6341-4789-8DFD-5EE0999D381D}" srcOrd="1" destOrd="0" presId="urn:microsoft.com/office/officeart/2008/layout/NameandTitleOrganizationalChart"/>
    <dgm:cxn modelId="{B39B5DF4-DADF-4106-85A4-A3CC1E9F2EF2}" type="presParOf" srcId="{C825A824-6341-4789-8DFD-5EE0999D381D}" destId="{7B885B8E-2740-4E63-81C4-4881E41C0260}" srcOrd="0" destOrd="0" presId="urn:microsoft.com/office/officeart/2008/layout/NameandTitleOrganizationalChart"/>
    <dgm:cxn modelId="{267CDA38-BEC6-4971-A95D-266B266F71A4}" type="presParOf" srcId="{7B885B8E-2740-4E63-81C4-4881E41C0260}" destId="{9C585D2D-3758-4280-8313-09EDFD2F56C2}" srcOrd="0" destOrd="0" presId="urn:microsoft.com/office/officeart/2008/layout/NameandTitleOrganizationalChart"/>
    <dgm:cxn modelId="{34CF3806-3F03-441F-A638-07FE2691EA0B}" type="presParOf" srcId="{7B885B8E-2740-4E63-81C4-4881E41C0260}" destId="{7748C187-D432-472C-917A-E12C678F16A0}" srcOrd="1" destOrd="0" presId="urn:microsoft.com/office/officeart/2008/layout/NameandTitleOrganizationalChart"/>
    <dgm:cxn modelId="{3B74BF2A-188E-43B9-AA47-BF1BB09F5DA9}" type="presParOf" srcId="{7B885B8E-2740-4E63-81C4-4881E41C0260}" destId="{5BFF92CE-D73C-4907-9A77-4AB7D20E9C90}" srcOrd="2" destOrd="0" presId="urn:microsoft.com/office/officeart/2008/layout/NameandTitleOrganizationalChart"/>
    <dgm:cxn modelId="{E72BBEC7-C48D-48C6-9857-E4A582DD29DB}" type="presParOf" srcId="{C825A824-6341-4789-8DFD-5EE0999D381D}" destId="{C90055CA-CBC5-4493-8100-7B268DB61400}" srcOrd="1" destOrd="0" presId="urn:microsoft.com/office/officeart/2008/layout/NameandTitleOrganizationalChart"/>
    <dgm:cxn modelId="{A847A009-F0FC-4F8E-BF40-403E37846753}" type="presParOf" srcId="{C825A824-6341-4789-8DFD-5EE0999D381D}" destId="{03C55DB8-F74F-4D11-B1D3-D58411E637F0}" srcOrd="2" destOrd="0" presId="urn:microsoft.com/office/officeart/2008/layout/NameandTitleOrganizationalChart"/>
  </dgm:cxnLst>
  <dgm:bg/>
  <dgm:whole/>
  <dgm:extLst>
    <a:ext uri="http://schemas.microsoft.com/office/drawing/2008/diagram">
      <dsp:dataModelExt xmlns:dsp="http://schemas.microsoft.com/office/drawing/2008/diagram" relId="rId7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80D90170-508B-47A1-AC4B-756E2104D446}">
      <dsp:nvSpPr>
        <dsp:cNvPr id="0" name=""/>
        <dsp:cNvSpPr/>
      </dsp:nvSpPr>
      <dsp:spPr>
        <a:xfrm>
          <a:off x="2092937" y="858547"/>
          <a:ext cx="149345" cy="487902"/>
        </a:xfrm>
        <a:custGeom>
          <a:avLst/>
          <a:gdLst/>
          <a:ahLst/>
          <a:cxnLst/>
          <a:rect l="0" t="0" r="0" b="0"/>
          <a:pathLst>
            <a:path>
              <a:moveTo>
                <a:pt x="149345" y="0"/>
              </a:moveTo>
              <a:lnTo>
                <a:pt x="149345" y="487902"/>
              </a:lnTo>
              <a:lnTo>
                <a:pt x="0" y="487902"/>
              </a:lnTo>
            </a:path>
          </a:pathLst>
        </a:custGeom>
        <a:noFill/>
        <a:ln w="12700" cap="flat" cmpd="sng" algn="ctr">
          <a:solidFill>
            <a:schemeClr val="accent2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  <a:scene3d>
          <a:camera prst="orthographicFront"/>
          <a:lightRig rig="flat" dir="t"/>
        </a:scene3d>
        <a:sp3d prstMaterial="matte"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E7728579-175A-4848-9F77-7382B71FE42F}">
      <dsp:nvSpPr>
        <dsp:cNvPr id="0" name=""/>
        <dsp:cNvSpPr/>
      </dsp:nvSpPr>
      <dsp:spPr>
        <a:xfrm>
          <a:off x="2242283" y="858547"/>
          <a:ext cx="1759542" cy="975805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0" y="870177"/>
              </a:lnTo>
              <a:lnTo>
                <a:pt x="1759542" y="870177"/>
              </a:lnTo>
              <a:lnTo>
                <a:pt x="1759542" y="975805"/>
              </a:lnTo>
            </a:path>
          </a:pathLst>
        </a:custGeom>
        <a:noFill/>
        <a:ln w="12700" cap="flat" cmpd="sng" algn="ctr">
          <a:solidFill>
            <a:schemeClr val="accent2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  <a:scene3d>
          <a:camera prst="orthographicFront"/>
          <a:lightRig rig="flat" dir="t"/>
        </a:scene3d>
        <a:sp3d prstMaterial="matte"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8E877F00-EC48-42EF-B674-DCE9CB399E17}">
      <dsp:nvSpPr>
        <dsp:cNvPr id="0" name=""/>
        <dsp:cNvSpPr/>
      </dsp:nvSpPr>
      <dsp:spPr>
        <a:xfrm>
          <a:off x="2242283" y="858547"/>
          <a:ext cx="586514" cy="975805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0" y="870177"/>
              </a:lnTo>
              <a:lnTo>
                <a:pt x="586514" y="870177"/>
              </a:lnTo>
              <a:lnTo>
                <a:pt x="586514" y="975805"/>
              </a:lnTo>
            </a:path>
          </a:pathLst>
        </a:custGeom>
        <a:noFill/>
        <a:ln w="12700" cap="flat" cmpd="sng" algn="ctr">
          <a:solidFill>
            <a:schemeClr val="accent2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  <a:scene3d>
          <a:camera prst="orthographicFront"/>
          <a:lightRig rig="flat" dir="t"/>
        </a:scene3d>
        <a:sp3d prstMaterial="matte"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8E744CEE-D079-45A0-B5FD-798CF92C7ABB}">
      <dsp:nvSpPr>
        <dsp:cNvPr id="0" name=""/>
        <dsp:cNvSpPr/>
      </dsp:nvSpPr>
      <dsp:spPr>
        <a:xfrm>
          <a:off x="1655768" y="858547"/>
          <a:ext cx="586514" cy="975805"/>
        </a:xfrm>
        <a:custGeom>
          <a:avLst/>
          <a:gdLst/>
          <a:ahLst/>
          <a:cxnLst/>
          <a:rect l="0" t="0" r="0" b="0"/>
          <a:pathLst>
            <a:path>
              <a:moveTo>
                <a:pt x="586514" y="0"/>
              </a:moveTo>
              <a:lnTo>
                <a:pt x="586514" y="870177"/>
              </a:lnTo>
              <a:lnTo>
                <a:pt x="0" y="870177"/>
              </a:lnTo>
              <a:lnTo>
                <a:pt x="0" y="975805"/>
              </a:lnTo>
            </a:path>
          </a:pathLst>
        </a:custGeom>
        <a:noFill/>
        <a:ln w="12700" cap="flat" cmpd="sng" algn="ctr">
          <a:solidFill>
            <a:schemeClr val="accent2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  <a:scene3d>
          <a:camera prst="orthographicFront"/>
          <a:lightRig rig="flat" dir="t"/>
        </a:scene3d>
        <a:sp3d prstMaterial="matte"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3E0891CC-812D-4C25-8A2E-5B6186139B67}">
      <dsp:nvSpPr>
        <dsp:cNvPr id="0" name=""/>
        <dsp:cNvSpPr/>
      </dsp:nvSpPr>
      <dsp:spPr>
        <a:xfrm>
          <a:off x="482740" y="858547"/>
          <a:ext cx="1759542" cy="975805"/>
        </a:xfrm>
        <a:custGeom>
          <a:avLst/>
          <a:gdLst/>
          <a:ahLst/>
          <a:cxnLst/>
          <a:rect l="0" t="0" r="0" b="0"/>
          <a:pathLst>
            <a:path>
              <a:moveTo>
                <a:pt x="1759542" y="0"/>
              </a:moveTo>
              <a:lnTo>
                <a:pt x="1759542" y="870177"/>
              </a:lnTo>
              <a:lnTo>
                <a:pt x="0" y="870177"/>
              </a:lnTo>
              <a:lnTo>
                <a:pt x="0" y="975805"/>
              </a:lnTo>
            </a:path>
          </a:pathLst>
        </a:custGeom>
        <a:noFill/>
        <a:ln w="12700" cap="flat" cmpd="sng" algn="ctr">
          <a:solidFill>
            <a:schemeClr val="accent2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  <a:scene3d>
          <a:camera prst="orthographicFront"/>
          <a:lightRig rig="flat" dir="t"/>
        </a:scene3d>
        <a:sp3d prstMaterial="matte"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A130111D-E82F-42F3-82AC-E8D034356FC8}">
      <dsp:nvSpPr>
        <dsp:cNvPr id="0" name=""/>
        <dsp:cNvSpPr/>
      </dsp:nvSpPr>
      <dsp:spPr>
        <a:xfrm>
          <a:off x="1805114" y="405854"/>
          <a:ext cx="874337" cy="452693"/>
        </a:xfrm>
        <a:prstGeom prst="rect">
          <a:avLst/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  <a:scene3d>
          <a:camera prst="orthographicFront"/>
          <a:lightRig rig="flat" dir="t"/>
        </a:scene3d>
        <a:sp3d prstMaterial="plastic">
          <a:bevelT w="120900" h="88900"/>
          <a:bevelB w="88900" h="31750" prst="angle"/>
        </a:sp3d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8255" tIns="8255" rIns="8255" bIns="63880" numCol="1" spcCol="1270" anchor="ctr" anchorCtr="0">
          <a:noAutofit/>
        </a:bodyPr>
        <a:lstStyle/>
        <a:p>
          <a:pPr marL="0" lvl="0" indent="0" algn="ctr" defTabSz="5778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1300" kern="1200"/>
            <a:t>C.(Charlie) Gull</a:t>
          </a:r>
        </a:p>
      </dsp:txBody>
      <dsp:txXfrm>
        <a:off x="1805114" y="405854"/>
        <a:ext cx="874337" cy="452693"/>
      </dsp:txXfrm>
    </dsp:sp>
    <dsp:sp modelId="{7AA4F1C7-2522-433A-B245-956AEADCA53E}">
      <dsp:nvSpPr>
        <dsp:cNvPr id="0" name=""/>
        <dsp:cNvSpPr/>
      </dsp:nvSpPr>
      <dsp:spPr>
        <a:xfrm>
          <a:off x="1979981" y="757949"/>
          <a:ext cx="786903" cy="150897"/>
        </a:xfrm>
        <a:prstGeom prst="rect">
          <a:avLst/>
        </a:prstGeom>
        <a:solidFill>
          <a:schemeClr val="lt1">
            <a:alpha val="90000"/>
            <a:hueOff val="0"/>
            <a:satOff val="0"/>
            <a:lumOff val="0"/>
            <a:alphaOff val="0"/>
          </a:schemeClr>
        </a:solidFill>
        <a:ln w="635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  <a:scene3d>
          <a:camera prst="orthographicFront"/>
          <a:lightRig rig="flat" dir="t"/>
        </a:scene3d>
        <a:sp3d z="190500" extrusionH="12700" prstMaterial="plastic">
          <a:bevelT w="50800" h="50800"/>
        </a:sp3d>
      </dsp:spPr>
      <dsp:style>
        <a:lnRef idx="1">
          <a:scrgbClr r="0" g="0" b="0"/>
        </a:lnRef>
        <a:fillRef idx="1">
          <a:scrgbClr r="0" g="0" b="0"/>
        </a:fillRef>
        <a:effectRef idx="2">
          <a:scrgbClr r="0" g="0" b="0"/>
        </a:effectRef>
        <a:fontRef idx="minor"/>
      </dsp:style>
      <dsp:txBody>
        <a:bodyPr spcFirstLastPara="0" vert="horz" wrap="square" lIns="22860" tIns="5715" rIns="22860" bIns="5715" numCol="1" spcCol="1270" anchor="ctr" anchorCtr="0">
          <a:noAutofit/>
        </a:bodyPr>
        <a:lstStyle/>
        <a:p>
          <a:pPr marL="0" lvl="0" indent="0" algn="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900" kern="1200"/>
            <a:t>President</a:t>
          </a:r>
        </a:p>
      </dsp:txBody>
      <dsp:txXfrm>
        <a:off x="1979981" y="757949"/>
        <a:ext cx="786903" cy="150897"/>
      </dsp:txXfrm>
    </dsp:sp>
    <dsp:sp modelId="{68471A12-0E68-4B1E-BFAF-7A6CD23D7A9B}">
      <dsp:nvSpPr>
        <dsp:cNvPr id="0" name=""/>
        <dsp:cNvSpPr/>
      </dsp:nvSpPr>
      <dsp:spPr>
        <a:xfrm>
          <a:off x="45571" y="1834353"/>
          <a:ext cx="874337" cy="452693"/>
        </a:xfrm>
        <a:prstGeom prst="rect">
          <a:avLst/>
        </a:prstGeom>
        <a:gradFill rotWithShape="0">
          <a:gsLst>
            <a:gs pos="0">
              <a:schemeClr val="accent2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2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2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  <a:scene3d>
          <a:camera prst="orthographicFront"/>
          <a:lightRig rig="flat" dir="t"/>
        </a:scene3d>
        <a:sp3d prstMaterial="plastic">
          <a:bevelT w="120900" h="88900"/>
          <a:bevelB w="88900" h="31750" prst="angle"/>
        </a:sp3d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8255" tIns="8255" rIns="8255" bIns="63880" numCol="1" spcCol="1270" anchor="ctr" anchorCtr="0">
          <a:noAutofit/>
        </a:bodyPr>
        <a:lstStyle/>
        <a:p>
          <a:pPr marL="0" lvl="0" indent="0" algn="ctr" defTabSz="5778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1300" kern="1200"/>
            <a:t>Henry Gull</a:t>
          </a:r>
        </a:p>
      </dsp:txBody>
      <dsp:txXfrm>
        <a:off x="45571" y="1834353"/>
        <a:ext cx="874337" cy="452693"/>
      </dsp:txXfrm>
    </dsp:sp>
    <dsp:sp modelId="{BFD758A2-1E74-4B81-B6D6-11197BDCC055}">
      <dsp:nvSpPr>
        <dsp:cNvPr id="0" name=""/>
        <dsp:cNvSpPr/>
      </dsp:nvSpPr>
      <dsp:spPr>
        <a:xfrm>
          <a:off x="220439" y="2186447"/>
          <a:ext cx="786903" cy="150897"/>
        </a:xfrm>
        <a:prstGeom prst="rect">
          <a:avLst/>
        </a:prstGeom>
        <a:solidFill>
          <a:schemeClr val="lt1">
            <a:alpha val="90000"/>
            <a:hueOff val="0"/>
            <a:satOff val="0"/>
            <a:lumOff val="0"/>
            <a:alphaOff val="0"/>
          </a:schemeClr>
        </a:solidFill>
        <a:ln w="6350" cap="flat" cmpd="sng" algn="ctr">
          <a:solidFill>
            <a:schemeClr val="accent2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  <a:scene3d>
          <a:camera prst="orthographicFront"/>
          <a:lightRig rig="flat" dir="t"/>
        </a:scene3d>
        <a:sp3d z="190500" extrusionH="12700" prstMaterial="plastic">
          <a:bevelT w="50800" h="50800"/>
        </a:sp3d>
      </dsp:spPr>
      <dsp:style>
        <a:lnRef idx="1">
          <a:scrgbClr r="0" g="0" b="0"/>
        </a:lnRef>
        <a:fillRef idx="1">
          <a:scrgbClr r="0" g="0" b="0"/>
        </a:fillRef>
        <a:effectRef idx="2">
          <a:scrgbClr r="0" g="0" b="0"/>
        </a:effectRef>
        <a:fontRef idx="minor"/>
      </dsp:style>
      <dsp:txBody>
        <a:bodyPr spcFirstLastPara="0" vert="horz" wrap="square" lIns="22860" tIns="5715" rIns="22860" bIns="5715" numCol="1" spcCol="1270" anchor="ctr" anchorCtr="0">
          <a:noAutofit/>
        </a:bodyPr>
        <a:lstStyle/>
        <a:p>
          <a:pPr marL="0" lvl="0" indent="0" algn="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900" kern="1200"/>
            <a:t>Left Wing</a:t>
          </a:r>
        </a:p>
      </dsp:txBody>
      <dsp:txXfrm>
        <a:off x="220439" y="2186447"/>
        <a:ext cx="786903" cy="150897"/>
      </dsp:txXfrm>
    </dsp:sp>
    <dsp:sp modelId="{1EFE2BD0-3BCF-40AA-A21F-8B176D688FFD}">
      <dsp:nvSpPr>
        <dsp:cNvPr id="0" name=""/>
        <dsp:cNvSpPr/>
      </dsp:nvSpPr>
      <dsp:spPr>
        <a:xfrm>
          <a:off x="1218600" y="1834353"/>
          <a:ext cx="874337" cy="452693"/>
        </a:xfrm>
        <a:prstGeom prst="rect">
          <a:avLst/>
        </a:prstGeom>
        <a:gradFill rotWithShape="0">
          <a:gsLst>
            <a:gs pos="0">
              <a:schemeClr val="accent3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3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3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  <a:scene3d>
          <a:camera prst="orthographicFront"/>
          <a:lightRig rig="flat" dir="t"/>
        </a:scene3d>
        <a:sp3d prstMaterial="plastic">
          <a:bevelT w="120900" h="88900"/>
          <a:bevelB w="88900" h="31750" prst="angle"/>
        </a:sp3d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8255" tIns="8255" rIns="8255" bIns="63880" numCol="1" spcCol="1270" anchor="ctr" anchorCtr="0">
          <a:noAutofit/>
        </a:bodyPr>
        <a:lstStyle/>
        <a:p>
          <a:pPr marL="0" lvl="0" indent="0" algn="ctr" defTabSz="5778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1300" kern="1200"/>
            <a:t>Madi Gull</a:t>
          </a:r>
        </a:p>
      </dsp:txBody>
      <dsp:txXfrm>
        <a:off x="1218600" y="1834353"/>
        <a:ext cx="874337" cy="452693"/>
      </dsp:txXfrm>
    </dsp:sp>
    <dsp:sp modelId="{D197190A-412F-4903-9685-EB83A82F13C5}">
      <dsp:nvSpPr>
        <dsp:cNvPr id="0" name=""/>
        <dsp:cNvSpPr/>
      </dsp:nvSpPr>
      <dsp:spPr>
        <a:xfrm>
          <a:off x="1393467" y="2186447"/>
          <a:ext cx="786903" cy="150897"/>
        </a:xfrm>
        <a:prstGeom prst="rect">
          <a:avLst/>
        </a:prstGeom>
        <a:solidFill>
          <a:schemeClr val="lt1">
            <a:alpha val="90000"/>
            <a:hueOff val="0"/>
            <a:satOff val="0"/>
            <a:lumOff val="0"/>
            <a:alphaOff val="0"/>
          </a:schemeClr>
        </a:solidFill>
        <a:ln w="6350" cap="flat" cmpd="sng" algn="ctr">
          <a:solidFill>
            <a:schemeClr val="accent3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  <a:scene3d>
          <a:camera prst="orthographicFront"/>
          <a:lightRig rig="flat" dir="t"/>
        </a:scene3d>
        <a:sp3d z="190500" extrusionH="12700" prstMaterial="plastic">
          <a:bevelT w="50800" h="50800"/>
        </a:sp3d>
      </dsp:spPr>
      <dsp:style>
        <a:lnRef idx="1">
          <a:scrgbClr r="0" g="0" b="0"/>
        </a:lnRef>
        <a:fillRef idx="1">
          <a:scrgbClr r="0" g="0" b="0"/>
        </a:fillRef>
        <a:effectRef idx="2">
          <a:scrgbClr r="0" g="0" b="0"/>
        </a:effectRef>
        <a:fontRef idx="minor"/>
      </dsp:style>
      <dsp:txBody>
        <a:bodyPr spcFirstLastPara="0" vert="horz" wrap="square" lIns="22860" tIns="5715" rIns="22860" bIns="5715" numCol="1" spcCol="1270" anchor="ctr" anchorCtr="0">
          <a:noAutofit/>
        </a:bodyPr>
        <a:lstStyle/>
        <a:p>
          <a:pPr marL="0" lvl="0" indent="0" algn="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900" kern="1200"/>
            <a:t>Drumstick</a:t>
          </a:r>
        </a:p>
      </dsp:txBody>
      <dsp:txXfrm>
        <a:off x="1393467" y="2186447"/>
        <a:ext cx="786903" cy="150897"/>
      </dsp:txXfrm>
    </dsp:sp>
    <dsp:sp modelId="{92C12777-CCA4-4810-B618-971B10FD0DA7}">
      <dsp:nvSpPr>
        <dsp:cNvPr id="0" name=""/>
        <dsp:cNvSpPr/>
      </dsp:nvSpPr>
      <dsp:spPr>
        <a:xfrm>
          <a:off x="2391628" y="1834353"/>
          <a:ext cx="874337" cy="452693"/>
        </a:xfrm>
        <a:prstGeom prst="rect">
          <a:avLst/>
        </a:prstGeom>
        <a:gradFill rotWithShape="0">
          <a:gsLst>
            <a:gs pos="0">
              <a:schemeClr val="accent4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4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4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  <a:scene3d>
          <a:camera prst="orthographicFront"/>
          <a:lightRig rig="flat" dir="t"/>
        </a:scene3d>
        <a:sp3d prstMaterial="plastic">
          <a:bevelT w="120900" h="88900"/>
          <a:bevelB w="88900" h="31750" prst="angle"/>
        </a:sp3d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8255" tIns="8255" rIns="8255" bIns="63880" numCol="1" spcCol="1270" anchor="ctr" anchorCtr="0">
          <a:noAutofit/>
        </a:bodyPr>
        <a:lstStyle/>
        <a:p>
          <a:pPr marL="0" lvl="0" indent="0" algn="ctr" defTabSz="5778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1300" kern="1200"/>
            <a:t>Grant Gull</a:t>
          </a:r>
        </a:p>
      </dsp:txBody>
      <dsp:txXfrm>
        <a:off x="2391628" y="1834353"/>
        <a:ext cx="874337" cy="452693"/>
      </dsp:txXfrm>
    </dsp:sp>
    <dsp:sp modelId="{CAC24FD5-4EB9-4F2D-9DE0-7885E2BEF8FA}">
      <dsp:nvSpPr>
        <dsp:cNvPr id="0" name=""/>
        <dsp:cNvSpPr/>
      </dsp:nvSpPr>
      <dsp:spPr>
        <a:xfrm>
          <a:off x="2566495" y="2186447"/>
          <a:ext cx="786903" cy="150897"/>
        </a:xfrm>
        <a:prstGeom prst="rect">
          <a:avLst/>
        </a:prstGeom>
        <a:solidFill>
          <a:schemeClr val="lt1">
            <a:alpha val="90000"/>
            <a:hueOff val="0"/>
            <a:satOff val="0"/>
            <a:lumOff val="0"/>
            <a:alphaOff val="0"/>
          </a:schemeClr>
        </a:solidFill>
        <a:ln w="6350" cap="flat" cmpd="sng" algn="ctr">
          <a:solidFill>
            <a:schemeClr val="accent4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  <a:scene3d>
          <a:camera prst="orthographicFront"/>
          <a:lightRig rig="flat" dir="t"/>
        </a:scene3d>
        <a:sp3d z="190500" extrusionH="12700" prstMaterial="plastic">
          <a:bevelT w="50800" h="50800"/>
        </a:sp3d>
      </dsp:spPr>
      <dsp:style>
        <a:lnRef idx="1">
          <a:scrgbClr r="0" g="0" b="0"/>
        </a:lnRef>
        <a:fillRef idx="1">
          <a:scrgbClr r="0" g="0" b="0"/>
        </a:fillRef>
        <a:effectRef idx="2">
          <a:scrgbClr r="0" g="0" b="0"/>
        </a:effectRef>
        <a:fontRef idx="minor"/>
      </dsp:style>
      <dsp:txBody>
        <a:bodyPr spcFirstLastPara="0" vert="horz" wrap="square" lIns="22860" tIns="5715" rIns="22860" bIns="5715" numCol="1" spcCol="1270" anchor="ctr" anchorCtr="0">
          <a:noAutofit/>
        </a:bodyPr>
        <a:lstStyle/>
        <a:p>
          <a:pPr marL="0" lvl="0" indent="0" algn="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900" kern="1200"/>
            <a:t>Giblets</a:t>
          </a:r>
        </a:p>
      </dsp:txBody>
      <dsp:txXfrm>
        <a:off x="2566495" y="2186447"/>
        <a:ext cx="786903" cy="150897"/>
      </dsp:txXfrm>
    </dsp:sp>
    <dsp:sp modelId="{EFBBF893-D952-4818-8E0A-B913062173D9}">
      <dsp:nvSpPr>
        <dsp:cNvPr id="0" name=""/>
        <dsp:cNvSpPr/>
      </dsp:nvSpPr>
      <dsp:spPr>
        <a:xfrm>
          <a:off x="3564656" y="1834353"/>
          <a:ext cx="874337" cy="452693"/>
        </a:xfrm>
        <a:prstGeom prst="rect">
          <a:avLst/>
        </a:prstGeom>
        <a:gradFill rotWithShape="0">
          <a:gsLst>
            <a:gs pos="0">
              <a:schemeClr val="accent5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5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5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  <a:scene3d>
          <a:camera prst="orthographicFront"/>
          <a:lightRig rig="flat" dir="t"/>
        </a:scene3d>
        <a:sp3d prstMaterial="plastic">
          <a:bevelT w="120900" h="88900"/>
          <a:bevelB w="88900" h="31750" prst="angle"/>
        </a:sp3d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8255" tIns="8255" rIns="8255" bIns="63880" numCol="1" spcCol="1270" anchor="ctr" anchorCtr="0">
          <a:noAutofit/>
        </a:bodyPr>
        <a:lstStyle/>
        <a:p>
          <a:pPr marL="0" lvl="0" indent="0" algn="ctr" defTabSz="5778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1300" kern="1200"/>
            <a:t>Zach Gull</a:t>
          </a:r>
        </a:p>
      </dsp:txBody>
      <dsp:txXfrm>
        <a:off x="3564656" y="1834353"/>
        <a:ext cx="874337" cy="452693"/>
      </dsp:txXfrm>
    </dsp:sp>
    <dsp:sp modelId="{4C58BBD6-2B25-41A9-896E-468D24123AB2}">
      <dsp:nvSpPr>
        <dsp:cNvPr id="0" name=""/>
        <dsp:cNvSpPr/>
      </dsp:nvSpPr>
      <dsp:spPr>
        <a:xfrm>
          <a:off x="3739524" y="2186447"/>
          <a:ext cx="786903" cy="150897"/>
        </a:xfrm>
        <a:prstGeom prst="rect">
          <a:avLst/>
        </a:prstGeom>
        <a:solidFill>
          <a:schemeClr val="lt1">
            <a:alpha val="90000"/>
            <a:hueOff val="0"/>
            <a:satOff val="0"/>
            <a:lumOff val="0"/>
            <a:alphaOff val="0"/>
          </a:schemeClr>
        </a:solidFill>
        <a:ln w="6350" cap="flat" cmpd="sng" algn="ctr">
          <a:solidFill>
            <a:schemeClr val="accent5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  <a:scene3d>
          <a:camera prst="orthographicFront"/>
          <a:lightRig rig="flat" dir="t"/>
        </a:scene3d>
        <a:sp3d z="190500" extrusionH="12700" prstMaterial="plastic">
          <a:bevelT w="50800" h="50800"/>
        </a:sp3d>
      </dsp:spPr>
      <dsp:style>
        <a:lnRef idx="1">
          <a:scrgbClr r="0" g="0" b="0"/>
        </a:lnRef>
        <a:fillRef idx="1">
          <a:scrgbClr r="0" g="0" b="0"/>
        </a:fillRef>
        <a:effectRef idx="2">
          <a:scrgbClr r="0" g="0" b="0"/>
        </a:effectRef>
        <a:fontRef idx="minor"/>
      </dsp:style>
      <dsp:txBody>
        <a:bodyPr spcFirstLastPara="0" vert="horz" wrap="square" lIns="22860" tIns="5715" rIns="22860" bIns="5715" numCol="1" spcCol="1270" anchor="ctr" anchorCtr="0">
          <a:noAutofit/>
        </a:bodyPr>
        <a:lstStyle/>
        <a:p>
          <a:pPr marL="0" lvl="0" indent="0" algn="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900" kern="1200"/>
            <a:t>Right Wing</a:t>
          </a:r>
        </a:p>
      </dsp:txBody>
      <dsp:txXfrm>
        <a:off x="3739524" y="2186447"/>
        <a:ext cx="786903" cy="150897"/>
      </dsp:txXfrm>
    </dsp:sp>
    <dsp:sp modelId="{9C585D2D-3758-4280-8313-09EDFD2F56C2}">
      <dsp:nvSpPr>
        <dsp:cNvPr id="0" name=""/>
        <dsp:cNvSpPr/>
      </dsp:nvSpPr>
      <dsp:spPr>
        <a:xfrm>
          <a:off x="1218600" y="1120103"/>
          <a:ext cx="874337" cy="452693"/>
        </a:xfrm>
        <a:prstGeom prst="rect">
          <a:avLst/>
        </a:prstGeom>
        <a:gradFill rotWithShape="0">
          <a:gsLst>
            <a:gs pos="0">
              <a:schemeClr val="accent2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2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2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  <a:scene3d>
          <a:camera prst="orthographicFront"/>
          <a:lightRig rig="flat" dir="t"/>
        </a:scene3d>
        <a:sp3d prstMaterial="plastic">
          <a:bevelT w="120900" h="88900"/>
          <a:bevelB w="88900" h="31750" prst="angle"/>
        </a:sp3d>
      </dsp:spPr>
      <dsp:style>
        <a:lnRef idx="0">
          <a:scrgbClr r="0" g="0" b="0"/>
        </a:lnRef>
        <a:fillRef idx="3">
          <a:scrgbClr r="0" g="0" b="0"/>
        </a:fillRef>
        <a:effectRef idx="1">
          <a:scrgbClr r="0" g="0" b="0"/>
        </a:effectRef>
        <a:fontRef idx="minor">
          <a:schemeClr val="lt1"/>
        </a:fontRef>
      </dsp:style>
      <dsp:txBody>
        <a:bodyPr spcFirstLastPara="0" vert="horz" wrap="square" lIns="8255" tIns="8255" rIns="8255" bIns="63880" numCol="1" spcCol="1270" anchor="ctr" anchorCtr="0">
          <a:noAutofit/>
        </a:bodyPr>
        <a:lstStyle/>
        <a:p>
          <a:pPr marL="0" lvl="0" indent="0" algn="ctr" defTabSz="5778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1300" kern="1200"/>
            <a:t>Izzy Gull</a:t>
          </a:r>
        </a:p>
      </dsp:txBody>
      <dsp:txXfrm>
        <a:off x="1218600" y="1120103"/>
        <a:ext cx="874337" cy="452693"/>
      </dsp:txXfrm>
    </dsp:sp>
    <dsp:sp modelId="{7748C187-D432-472C-917A-E12C678F16A0}">
      <dsp:nvSpPr>
        <dsp:cNvPr id="0" name=""/>
        <dsp:cNvSpPr/>
      </dsp:nvSpPr>
      <dsp:spPr>
        <a:xfrm>
          <a:off x="1393467" y="1472198"/>
          <a:ext cx="786903" cy="150897"/>
        </a:xfrm>
        <a:prstGeom prst="rect">
          <a:avLst/>
        </a:prstGeom>
        <a:solidFill>
          <a:schemeClr val="lt1">
            <a:alpha val="90000"/>
            <a:hueOff val="0"/>
            <a:satOff val="0"/>
            <a:lumOff val="0"/>
            <a:alphaOff val="0"/>
          </a:schemeClr>
        </a:solidFill>
        <a:ln w="6350" cap="flat" cmpd="sng" algn="ctr">
          <a:solidFill>
            <a:schemeClr val="accent2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  <a:scene3d>
          <a:camera prst="orthographicFront"/>
          <a:lightRig rig="flat" dir="t"/>
        </a:scene3d>
        <a:sp3d z="190500" extrusionH="12700" prstMaterial="plastic">
          <a:bevelT w="50800" h="50800"/>
        </a:sp3d>
      </dsp:spPr>
      <dsp:style>
        <a:lnRef idx="1">
          <a:scrgbClr r="0" g="0" b="0"/>
        </a:lnRef>
        <a:fillRef idx="1">
          <a:scrgbClr r="0" g="0" b="0"/>
        </a:fillRef>
        <a:effectRef idx="2">
          <a:scrgbClr r="0" g="0" b="0"/>
        </a:effectRef>
        <a:fontRef idx="minor"/>
      </dsp:style>
      <dsp:txBody>
        <a:bodyPr spcFirstLastPara="0" vert="horz" wrap="square" lIns="22860" tIns="5715" rIns="22860" bIns="5715" numCol="1" spcCol="1270" anchor="ctr" anchorCtr="0">
          <a:noAutofit/>
        </a:bodyPr>
        <a:lstStyle/>
        <a:p>
          <a:pPr marL="0" lvl="0" indent="0" algn="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900" kern="1200"/>
            <a:t>Admin</a:t>
          </a:r>
        </a:p>
      </dsp:txBody>
      <dsp:txXfrm>
        <a:off x="1393467" y="1472198"/>
        <a:ext cx="786903" cy="150897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8/layout/NameandTitleOrganizationalChart">
  <dgm:title val=""/>
  <dgm:desc val=""/>
  <dgm:catLst>
    <dgm:cat type="hierarchy" pri="1250"/>
  </dgm:catLst>
  <dgm:sampData>
    <dgm:dataModel>
      <dgm:ptLst>
        <dgm:pt modelId="0" type="doc"/>
        <dgm:pt modelId="1">
          <dgm:prSet phldr="1"/>
        </dgm:pt>
        <dgm:pt modelId="2" type="asst">
          <dgm:prSet phldr="1"/>
        </dgm:pt>
        <dgm:pt modelId="3">
          <dgm:prSet phldr="1"/>
        </dgm:pt>
        <dgm:pt modelId="4">
          <dgm:prSet phldr="1"/>
        </dgm:pt>
        <dgm:pt modelId="5">
          <dgm:prSet phldr="1"/>
        </dgm:pt>
      </dgm:ptLst>
      <dgm:cxnLst>
        <dgm:cxn modelId="5" srcId="0" destId="1" srcOrd="0" destOrd="0"/>
        <dgm:cxn modelId="6" srcId="1" destId="2" srcOrd="0" destOrd="0"/>
        <dgm:cxn modelId="7" srcId="1" destId="3" srcOrd="1" destOrd="0"/>
        <dgm:cxn modelId="8" srcId="1" destId="4" srcOrd="2" destOrd="0"/>
        <dgm:cxn modelId="9" srcId="1" destId="5" srcOrd="3" destOrd="0"/>
      </dgm:cxnLst>
      <dgm:bg/>
      <dgm:whole/>
    </dgm:dataModel>
  </dgm:sampData>
  <dgm:styleData>
    <dgm:dataModel>
      <dgm:ptLst>
        <dgm:pt modelId="0" type="doc"/>
        <dgm:pt modelId="1"/>
        <dgm:pt modelId="12"/>
        <dgm:pt modelId="13"/>
      </dgm:ptLst>
      <dgm:cxnLst>
        <dgm:cxn modelId="2" srcId="0" destId="1" srcOrd="0" destOrd="0"/>
        <dgm:cxn modelId="16" srcId="1" destId="12" srcOrd="1" destOrd="0"/>
        <dgm:cxn modelId="17" srcId="1" destId="13" srcOrd="2" destOrd="0"/>
      </dgm:cxnLst>
      <dgm:bg/>
      <dgm:whole/>
    </dgm:dataModel>
  </dgm:styleData>
  <dgm:clrData>
    <dgm:dataModel>
      <dgm:ptLst>
        <dgm:pt modelId="0" type="doc"/>
        <dgm:pt modelId="1"/>
        <dgm:pt modelId="11" type="asst"/>
        <dgm:pt modelId="12"/>
        <dgm:pt modelId="13"/>
        <dgm:pt modelId="14"/>
      </dgm:ptLst>
      <dgm:cxnLst>
        <dgm:cxn modelId="2" srcId="0" destId="1" srcOrd="0" destOrd="0"/>
        <dgm:cxn modelId="15" srcId="1" destId="11" srcOrd="0" destOrd="0"/>
        <dgm:cxn modelId="16" srcId="1" destId="12" srcOrd="1" destOrd="0"/>
        <dgm:cxn modelId="17" srcId="1" destId="13" srcOrd="2" destOrd="0"/>
        <dgm:cxn modelId="18" srcId="1" destId="14" srcOrd="2" destOrd="0"/>
      </dgm:cxnLst>
      <dgm:bg/>
      <dgm:whole/>
    </dgm:dataModel>
  </dgm:clrData>
  <dgm:layoutNode name="hierChild1">
    <dgm:varLst>
      <dgm:orgChart val="1"/>
      <dgm:chPref val="1"/>
      <dgm:dir/>
      <dgm:animOne val="branch"/>
      <dgm:animLvl val="lvl"/>
      <dgm:resizeHandles/>
    </dgm:varLst>
    <dgm:choose name="Name0">
      <dgm:if name="Name1" func="var" arg="dir" op="equ" val="norm">
        <dgm:alg type="hierChild">
          <dgm:param type="linDir" val="fromL"/>
        </dgm:alg>
      </dgm:if>
      <dgm:else name="Name2">
        <dgm:alg type="hierChild">
          <dgm:param type="linDir" val="fromR"/>
        </dgm:alg>
      </dgm:else>
    </dgm:choose>
    <dgm:shape xmlns:r="http://schemas.openxmlformats.org/officeDocument/2006/relationships" r:blip="">
      <dgm:adjLst/>
    </dgm:shape>
    <dgm:presOf/>
    <dgm:constrLst>
      <dgm:constr type="w" for="des" forName="rootComposite1" refType="w" fact="10"/>
      <dgm:constr type="h" for="des" forName="rootComposite1" refType="w" refFor="des" refForName="rootComposite1" fact="0.5"/>
      <dgm:constr type="w" for="des" forName="rootComposite" refType="w" fact="10"/>
      <dgm:constr type="h" for="des" forName="rootComposite" refType="w" refFor="des" refForName="rootComposite1" fact="0.5"/>
      <dgm:constr type="w" for="des" forName="rootComposite3" refType="w" fact="10"/>
      <dgm:constr type="h" for="des" forName="rootComposite3" refType="w" refFor="des" refForName="rootComposite1" fact="0.5"/>
      <dgm:constr type="primFontSz" for="des" ptType="node" op="equ"/>
      <dgm:constr type="sp" for="des" op="equ"/>
      <dgm:constr type="sp" for="des" forName="hierRoot1" refType="w" refFor="des" refForName="rootComposite1" fact="0.21"/>
      <dgm:constr type="sp" for="des" forName="hierRoot2" refType="sp" refFor="des" refForName="hierRoot1"/>
      <dgm:constr type="sp" for="des" forName="hierRoot3" refType="sp" refFor="des" refForName="hierRoot1"/>
      <dgm:constr type="sibSp" refType="w" refFor="des" refForName="rootComposite1" fact="0.21"/>
      <dgm:constr type="sibSp" for="des" forName="hierChild2" refType="sibSp"/>
      <dgm:constr type="sibSp" for="des" forName="hierChild3" refType="sibSp"/>
      <dgm:constr type="sibSp" for="des" forName="hierChild4" refType="sibSp"/>
      <dgm:constr type="sibSp" for="des" forName="hierChild5" refType="sibSp"/>
      <dgm:constr type="sibSp" for="des" forName="hierChild6" refType="sibSp"/>
      <dgm:constr type="sibSp" for="des" forName="hierChild7" refType="sibSp"/>
      <dgm:constr type="secSibSp" refType="w" refFor="des" refForName="rootComposite1" fact="0.21"/>
      <dgm:constr type="secSibSp" for="des" forName="hierChild2" refType="secSibSp"/>
      <dgm:constr type="secSibSp" for="des" forName="hierChild3" refType="secSibSp"/>
      <dgm:constr type="secSibSp" for="des" forName="hierChild4" refType="secSibSp"/>
      <dgm:constr type="secSibSp" for="des" forName="hierChild5" refType="secSibSp"/>
      <dgm:constr type="secSibSp" for="des" forName="hierChild6" refType="secSibSp"/>
      <dgm:constr type="secSibSp" for="des" forName="hierChild7" refType="secSibSp"/>
    </dgm:constrLst>
    <dgm:ruleLst/>
    <dgm:forEach name="Name3" axis="ch">
      <dgm:forEach name="Name4" axis="self" ptType="node">
        <dgm:layoutNode name="hierRoot1">
          <dgm:varLst>
            <dgm:hierBranch val="init"/>
          </dgm:varLst>
          <dgm:choose name="Name5">
            <dgm:if name="Name6" func="var" arg="hierBranch" op="equ" val="l">
              <dgm:choose name="Name7">
                <dgm:if name="Name8" axis="ch" ptType="asst" func="cnt" op="gte" val="1">
                  <dgm:alg type="hierRoot">
                    <dgm:param type="hierAlign" val="tR"/>
                  </dgm:alg>
                  <dgm:constrLst>
                    <dgm:constr type="alignOff" val="0.65"/>
                  </dgm:constrLst>
                </dgm:if>
                <dgm:else name="Name9">
                  <dgm:alg type="hierRoot">
                    <dgm:param type="hierAlign" val="tR"/>
                  </dgm:alg>
                  <dgm:constrLst>
                    <dgm:constr type="alignOff" val="0.25"/>
                  </dgm:constrLst>
                </dgm:else>
              </dgm:choose>
            </dgm:if>
            <dgm:if name="Name10" func="var" arg="hierBranch" op="equ" val="r">
              <dgm:choose name="Name11">
                <dgm:if name="Name12" axis="ch" ptType="asst" func="cnt" op="gte" val="1">
                  <dgm:alg type="hierRoot">
                    <dgm:param type="hierAlign" val="tL"/>
                  </dgm:alg>
                  <dgm:constrLst>
                    <dgm:constr type="alignOff" val="0.65"/>
                  </dgm:constrLst>
                </dgm:if>
                <dgm:else name="Name13">
                  <dgm:alg type="hierRoot">
                    <dgm:param type="hierAlign" val="tL"/>
                  </dgm:alg>
                  <dgm:constrLst>
                    <dgm:constr type="alignOff" val="0.25"/>
                  </dgm:constrLst>
                </dgm:else>
              </dgm:choose>
            </dgm:if>
            <dgm:if name="Name14" func="var" arg="hierBranch" op="equ" val="hang">
              <dgm:alg type="hierRoot"/>
              <dgm:constrLst>
                <dgm:constr type="alignOff" val="0.65"/>
              </dgm:constrLst>
            </dgm:if>
            <dgm:else name="Name15">
              <dgm:alg type="hierRoot"/>
              <dgm:constrLst>
                <dgm:constr type="alignOff"/>
                <dgm:constr type="bendDist" for="des" ptType="parTrans" refType="sp" fact="0.5"/>
              </dgm:constrLst>
            </dgm:else>
          </dgm:choose>
          <dgm:shape xmlns:r="http://schemas.openxmlformats.org/officeDocument/2006/relationships" r:blip="">
            <dgm:adjLst/>
          </dgm:shape>
          <dgm:presOf/>
          <dgm:ruleLst/>
          <dgm:layoutNode name="rootComposite1">
            <dgm:alg type="composite"/>
            <dgm:shape xmlns:r="http://schemas.openxmlformats.org/officeDocument/2006/relationships" r:blip="">
              <dgm:adjLst/>
            </dgm:shape>
            <dgm:presOf axis="self" ptType="node" cnt="1"/>
            <dgm:choose name="Name16">
              <dgm:if name="Name17" func="var" arg="hierBranch" op="equ" val="init">
                <dgm:constrLst>
                  <dgm:constr type="l" for="ch" forName="rootText1"/>
                  <dgm:constr type="t" for="ch" forName="rootText1"/>
                  <dgm:constr type="w" for="ch" forName="rootText1" refType="w"/>
                  <dgm:constr type="h" for="ch" forName="rootText1" refType="h" fact="0.9"/>
                  <dgm:constr type="l" for="ch" forName="titleText1" refType="w" fact="0.2"/>
                  <dgm:constr type="t" for="ch" forName="titleText1" refType="h" fact="0.7"/>
                  <dgm:constr type="w" for="ch" forName="titleText1" refType="w" fact="0.9"/>
                  <dgm:constr type="h" for="ch" forName="titleText1" refType="h" fact="0.3"/>
                  <dgm:constr type="primFontSz" for="des" forName="titleText1" refType="primFontSz" refFor="des" refForName="rootText1" op="lte"/>
                  <dgm:constr type="l" for="ch" forName="rootConnector1"/>
                  <dgm:constr type="t" for="ch" forName="rootConnector1"/>
                  <dgm:constr type="w" for="ch" forName="rootConnector1" refType="w" refFor="ch" refForName="rootText1" fact="0.2"/>
                  <dgm:constr type="h" for="ch" forName="rootConnector1" refType="h" refFor="ch" refForName="rootText1"/>
                </dgm:constrLst>
              </dgm:if>
              <dgm:if name="Name18" func="var" arg="hierBranch" op="equ" val="l">
                <dgm:constrLst>
                  <dgm:constr type="l" for="ch" forName="rootText1"/>
                  <dgm:constr type="t" for="ch" forName="rootText1"/>
                  <dgm:constr type="w" for="ch" forName="rootText1" refType="w"/>
                  <dgm:constr type="h" for="ch" forName="rootText1" refType="h" fact="0.9"/>
                  <dgm:constr type="l" for="ch" forName="titleText1" refType="w" fact="0.2"/>
                  <dgm:constr type="t" for="ch" forName="titleText1" refType="h" fact="0.7"/>
                  <dgm:constr type="w" for="ch" forName="titleText1" refType="w" fact="0.9"/>
                  <dgm:constr type="h" for="ch" forName="titleText1" refType="h" fact="0.3"/>
                  <dgm:constr type="primFontSz" for="des" forName="titleText1" refType="primFontSz" refFor="des" refForName="rootText1" op="lte"/>
                  <dgm:constr type="r" for="ch" forName="rootConnector1" refType="w"/>
                  <dgm:constr type="t" for="ch" forName="rootConnector1"/>
                  <dgm:constr type="w" for="ch" forName="rootConnector1" refType="w" refFor="ch" refForName="rootText1" fact="0.2"/>
                  <dgm:constr type="h" for="ch" forName="rootConnector1" refType="h" refFor="ch" refForName="rootText1"/>
                </dgm:constrLst>
              </dgm:if>
              <dgm:if name="Name19" func="var" arg="hierBranch" op="equ" val="r">
                <dgm:constrLst>
                  <dgm:constr type="l" for="ch" forName="rootText1"/>
                  <dgm:constr type="t" for="ch" forName="rootText1"/>
                  <dgm:constr type="w" for="ch" forName="rootText1" refType="w"/>
                  <dgm:constr type="h" for="ch" forName="rootText1" refType="h" fact="0.9"/>
                  <dgm:constr type="l" for="ch" forName="titleText1" refType="w" fact="0.2"/>
                  <dgm:constr type="t" for="ch" forName="titleText1" refType="h" fact="0.7"/>
                  <dgm:constr type="w" for="ch" forName="titleText1" refType="w" fact="0.9"/>
                  <dgm:constr type="h" for="ch" forName="titleText1" refType="h" fact="0.3"/>
                  <dgm:constr type="primFontSz" for="des" forName="titleText1" refType="primFontSz" refFor="des" refForName="rootText1" op="lte"/>
                  <dgm:constr type="l" for="ch" forName="rootConnector1"/>
                  <dgm:constr type="t" for="ch" forName="rootConnector1"/>
                  <dgm:constr type="w" for="ch" forName="rootConnector1" refType="w" refFor="ch" refForName="rootText1" fact="0.2"/>
                  <dgm:constr type="h" for="ch" forName="rootConnector1" refType="h" refFor="ch" refForName="rootText1"/>
                </dgm:constrLst>
              </dgm:if>
              <dgm:else name="Name20">
                <dgm:constrLst>
                  <dgm:constr type="l" for="ch" forName="rootText1"/>
                  <dgm:constr type="t" for="ch" forName="rootText1"/>
                  <dgm:constr type="w" for="ch" forName="rootText1" refType="w"/>
                  <dgm:constr type="h" for="ch" forName="rootText1" refType="h" fact="0.9"/>
                  <dgm:constr type="l" for="ch" forName="titleText1" refType="w" fact="0.2"/>
                  <dgm:constr type="t" for="ch" forName="titleText1" refType="h" fact="0.7"/>
                  <dgm:constr type="w" for="ch" forName="titleText1" refType="w" fact="0.9"/>
                  <dgm:constr type="h" for="ch" forName="titleText1" refType="h" fact="0.3"/>
                  <dgm:constr type="primFontSz" for="des" forName="titleText1" refType="primFontSz" refFor="des" refForName="rootText1" op="lte"/>
                  <dgm:constr type="r" for="ch" forName="rootConnector1" refType="w"/>
                  <dgm:constr type="t" for="ch" forName="rootConnector1"/>
                  <dgm:constr type="w" for="ch" forName="rootConnector1" refType="w" refFor="ch" refForName="rootText1" fact="0.2"/>
                  <dgm:constr type="h" for="ch" forName="rootConnector1" refType="h" refFor="ch" refForName="rootText1"/>
                </dgm:constrLst>
              </dgm:else>
            </dgm:choose>
            <dgm:ruleLst/>
            <dgm:layoutNode name="rootText1" styleLbl="node0">
              <dgm:varLst>
                <dgm:chMax/>
                <dgm:chPref val="3"/>
              </dgm:varLst>
              <dgm:alg type="tx"/>
              <dgm:shape xmlns:r="http://schemas.openxmlformats.org/officeDocument/2006/relationships" type="rect" r:blip="">
                <dgm:adjLst/>
              </dgm:shape>
              <dgm:presOf axis="self" ptType="node" cnt="1"/>
              <dgm:constrLst>
                <dgm:constr type="primFontSz" val="65"/>
                <dgm:constr type="lMarg" refType="primFontSz" fact="0.05"/>
                <dgm:constr type="rMarg" refType="primFontSz" fact="0.05"/>
                <dgm:constr type="tMarg" refType="primFontSz" fact="0.05"/>
                <dgm:constr type="bMarg" refType="h" fact="0.4"/>
              </dgm:constrLst>
              <dgm:ruleLst>
                <dgm:rule type="primFontSz" val="5" fact="NaN" max="NaN"/>
              </dgm:ruleLst>
            </dgm:layoutNode>
            <dgm:layoutNode name="titleText1" styleLbl="fgAcc0">
              <dgm:varLst>
                <dgm:chMax val="0"/>
                <dgm:chPref val="0"/>
              </dgm:varLst>
              <dgm:alg type="tx">
                <dgm:param type="parTxLTRAlign" val="r"/>
              </dgm:alg>
              <dgm:shape xmlns:r="http://schemas.openxmlformats.org/officeDocument/2006/relationships" type="rect" r:blip="">
                <dgm:adjLst/>
              </dgm:shape>
              <dgm:presOf axis="followSib" ptType="sibTrans" hideLastTrans="0" cnt="1"/>
              <dgm:constrLst>
                <dgm:constr type="primFontSz" val="65"/>
                <dgm:constr type="lMarg" refType="primFontSz" fact="0.2"/>
                <dgm:constr type="rMarg" refType="primFontSz" fact="0.2"/>
                <dgm:constr type="tMarg" refType="primFontSz" fact="0.05"/>
                <dgm:constr type="bMarg" refType="primFontSz" fact="0.05"/>
              </dgm:constrLst>
              <dgm:ruleLst>
                <dgm:rule type="primFontSz" val="5" fact="NaN" max="NaN"/>
              </dgm:ruleLst>
            </dgm:layoutNode>
            <dgm:layoutNode name="rootConnector1" moveWith="rootText1">
              <dgm:alg type="sp"/>
              <dgm:shape xmlns:r="http://schemas.openxmlformats.org/officeDocument/2006/relationships" type="rect" r:blip="" hideGeom="1">
                <dgm:adjLst/>
              </dgm:shape>
              <dgm:presOf axis="self" ptType="node" cnt="1"/>
              <dgm:constrLst/>
              <dgm:ruleLst/>
            </dgm:layoutNode>
          </dgm:layoutNode>
          <dgm:layoutNode name="hierChild2">
            <dgm:choose name="Name21">
              <dgm:if name="Name22" func="var" arg="hierBranch" op="equ" val="l">
                <dgm:alg type="hierChild">
                  <dgm:param type="chAlign" val="r"/>
                  <dgm:param type="linDir" val="fromT"/>
                </dgm:alg>
              </dgm:if>
              <dgm:if name="Name23" func="var" arg="hierBranch" op="equ" val="r">
                <dgm:alg type="hierChild">
                  <dgm:param type="chAlign" val="l"/>
                  <dgm:param type="linDir" val="fromT"/>
                </dgm:alg>
              </dgm:if>
              <dgm:if name="Name24" func="var" arg="hierBranch" op="equ" val="hang">
                <dgm:choose name="Name25">
                  <dgm:if name="Name26" func="var" arg="dir" op="equ" val="norm">
                    <dgm:alg type="hierChild">
                      <dgm:param type="chAlign" val="l"/>
                      <dgm:param type="linDir" val="fromL"/>
                      <dgm:param type="secChAlign" val="t"/>
                      <dgm:param type="secLinDir" val="fromT"/>
                    </dgm:alg>
                  </dgm:if>
                  <dgm:else name="Name27">
                    <dgm:alg type="hierChild">
                      <dgm:param type="chAlign" val="l"/>
                      <dgm:param type="linDir" val="fromR"/>
                      <dgm:param type="secChAlign" val="t"/>
                      <dgm:param type="secLinDir" val="fromT"/>
                    </dgm:alg>
                  </dgm:else>
                </dgm:choose>
              </dgm:if>
              <dgm:else name="Name28">
                <dgm:choose name="Name29">
                  <dgm:if name="Name30" func="var" arg="dir" op="equ" val="norm">
                    <dgm:alg type="hierChild"/>
                  </dgm:if>
                  <dgm:else name="Name31">
                    <dgm:alg type="hierChild">
                      <dgm:param type="linDir" val="fromR"/>
                    </dgm:alg>
                  </dgm:else>
                </dgm:choose>
              </dgm:else>
            </dgm:choose>
            <dgm:shape xmlns:r="http://schemas.openxmlformats.org/officeDocument/2006/relationships" r:blip="">
              <dgm:adjLst/>
            </dgm:shape>
            <dgm:presOf/>
            <dgm:constrLst/>
            <dgm:ruleLst/>
            <dgm:forEach name="rep2a" axis="ch" ptType="nonAsst">
              <dgm:forEach name="Name32" axis="precedSib" ptType="parTrans" st="-1" cnt="1">
                <dgm:choose name="Name33">
                  <dgm:if name="Name34" func="var" arg="hierBranch" op="equ" val="std">
                    <dgm:layoutNode name="Name35">
                      <dgm:alg type="conn">
                        <dgm:param type="connRout" val="bend"/>
                        <dgm:param type="dim" val="1D"/>
                        <dgm:param type="endSty" val="noArr"/>
                        <dgm:param type="begPts" val="bCtr"/>
                        <dgm:param type="endPts" val="tCtr"/>
                        <dgm:param type="bendPt" val="end"/>
                      </dgm:alg>
                      <dgm:shape xmlns:r="http://schemas.openxmlformats.org/officeDocument/2006/relationships" type="conn" r:blip="" zOrderOff="-99999">
                        <dgm:adjLst/>
                      </dgm:shape>
                      <dgm:presOf axis="self"/>
                      <dgm:constrLst>
                        <dgm:constr type="begPad"/>
                        <dgm:constr type="endPad"/>
                      </dgm:constrLst>
                      <dgm:ruleLst/>
                    </dgm:layoutNode>
                  </dgm:if>
                  <dgm:if name="Name36" func="var" arg="hierBranch" op="equ" val="init">
                    <dgm:layoutNode name="Name37">
                      <dgm:choose name="Name38">
                        <dgm:if name="Name39" axis="self" func="depth" op="lte" val="2">
                          <dgm:alg type="conn">
                            <dgm:param type="connRout" val="bend"/>
                            <dgm:param type="dim" val="1D"/>
                            <dgm:param type="endSty" val="noArr"/>
                            <dgm:param type="begPts" val="bCtr"/>
                            <dgm:param type="endPts" val="tCtr"/>
                            <dgm:param type="bendPt" val="end"/>
                          </dgm:alg>
                        </dgm:if>
                        <dgm:else name="Name40">
                          <dgm:alg type="conn">
                            <dgm:param type="connRout" val="bend"/>
                            <dgm:param type="dim" val="1D"/>
                            <dgm:param type="endSty" val="noArr"/>
                            <dgm:param type="begPts" val="bCtr"/>
                            <dgm:param type="endPts" val="tCtr"/>
                            <dgm:param type="bendPt" val="end"/>
                          </dgm:alg>
                        </dgm:else>
                      </dgm:choose>
                      <dgm:shape xmlns:r="http://schemas.openxmlformats.org/officeDocument/2006/relationships" type="conn" r:blip="" zOrderOff="-99999">
                        <dgm:adjLst/>
                      </dgm:shape>
                      <dgm:presOf axis="self"/>
                      <dgm:constrLst>
                        <dgm:constr type="begPad"/>
                        <dgm:constr type="endPad"/>
                      </dgm:constrLst>
                      <dgm:ruleLst/>
                    </dgm:layoutNode>
                  </dgm:if>
                  <dgm:if name="Name41" func="var" arg="hierBranch" op="equ" val="hang">
                    <dgm:layoutNode name="Name42">
                      <dgm:alg type="conn">
                        <dgm:param type="connRout" val="bend"/>
                        <dgm:param type="dim" val="1D"/>
                        <dgm:param type="endSty" val="noArr"/>
                        <dgm:param type="begPts" val="bCtr"/>
                        <dgm:param type="endPts" val="midL midR"/>
                      </dgm:alg>
                      <dgm:shape xmlns:r="http://schemas.openxmlformats.org/officeDocument/2006/relationships" type="conn" r:blip="" zOrderOff="-99999">
                        <dgm:adjLst/>
                      </dgm:shape>
                      <dgm:presOf axis="self"/>
                      <dgm:constrLst>
                        <dgm:constr type="begPad"/>
                        <dgm:constr type="endPad"/>
                      </dgm:constrLst>
                      <dgm:ruleLst/>
                    </dgm:layoutNode>
                  </dgm:if>
                  <dgm:else name="Name43">
                    <dgm:layoutNode name="Name44">
                      <dgm:choose name="Name45">
                        <dgm:if name="Name46" axis="self" func="depth" op="lte" val="2">
                          <dgm:choose name="Name47">
                            <dgm:if name="Name48" axis="par ch" ptType="node asst" func="cnt" op="gte" val="1">
                              <dgm:alg type="conn">
                                <dgm:param type="connRout" val="bend"/>
                                <dgm:param type="dim" val="1D"/>
                                <dgm:param type="endSty" val="noArr"/>
                                <dgm:param type="begPts" val="bCtr"/>
                                <dgm:param type="endPts" val="midL midR"/>
                              </dgm:alg>
                            </dgm:if>
                            <dgm:else name="Name49">
                              <dgm:alg type="conn">
                                <dgm:param type="connRout" val="bend"/>
                                <dgm:param type="dim" val="1D"/>
                                <dgm:param type="endSty" val="noArr"/>
                                <dgm:param type="begPts" val="bCtr"/>
                                <dgm:param type="endPts" val="midL midR"/>
                                <dgm:param type="srcNode" val="rootConnector1"/>
                              </dgm:alg>
                            </dgm:else>
                          </dgm:choose>
                        </dgm:if>
                        <dgm:else name="Name50">
                          <dgm:choose name="Name51">
                            <dgm:if name="Name52" axis="par ch" ptType="node asst" func="cnt" op="gte" val="1">
                              <dgm:alg type="conn">
                                <dgm:param type="connRout" val="bend"/>
                                <dgm:param type="dim" val="1D"/>
                                <dgm:param type="endSty" val="noArr"/>
                                <dgm:param type="begPts" val="bCtr"/>
                                <dgm:param type="endPts" val="midL midR"/>
                              </dgm:alg>
                            </dgm:if>
                            <dgm:else name="Name53">
                              <dgm:alg type="conn">
                                <dgm:param type="connRout" val="bend"/>
                                <dgm:param type="dim" val="1D"/>
                                <dgm:param type="endSty" val="noArr"/>
                                <dgm:param type="begPts" val="bCtr"/>
                                <dgm:param type="endPts" val="midL midR"/>
                                <dgm:param type="srcNode" val="rootConnector"/>
                              </dgm:alg>
                            </dgm:else>
                          </dgm:choose>
                        </dgm:else>
                      </dgm:choose>
                      <dgm:shape xmlns:r="http://schemas.openxmlformats.org/officeDocument/2006/relationships" type="conn" r:blip="" zOrderOff="-99999">
                        <dgm:adjLst/>
                      </dgm:shape>
                      <dgm:presOf axis="self"/>
                      <dgm:constrLst>
                        <dgm:constr type="begPad"/>
                        <dgm:constr type="endPad"/>
                      </dgm:constrLst>
                      <dgm:ruleLst/>
                    </dgm:layoutNode>
                  </dgm:else>
                </dgm:choose>
              </dgm:forEach>
              <dgm:layoutNode name="hierRoot2">
                <dgm:varLst>
                  <dgm:hierBranch val="init"/>
                </dgm:varLst>
                <dgm:choose name="Name54">
                  <dgm:if name="Name55" func="var" arg="hierBranch" op="equ" val="l">
                    <dgm:choose name="Name56">
                      <dgm:if name="Name57" axis="ch" ptType="asst" func="cnt" op="gte" val="1">
                        <dgm:alg type="hierRoot">
                          <dgm:param type="hierAlign" val="tR"/>
                        </dgm:alg>
                        <dgm:shape xmlns:r="http://schemas.openxmlformats.org/officeDocument/2006/relationships" r:blip="">
                          <dgm:adjLst/>
                        </dgm:shape>
                        <dgm:presOf/>
                        <dgm:constrLst>
                          <dgm:constr type="alignOff" val="0.65"/>
                        </dgm:constrLst>
                      </dgm:if>
                      <dgm:else name="Name58">
                        <dgm:alg type="hierRoot">
                          <dgm:param type="hierAlign" val="tR"/>
                        </dgm:alg>
                        <dgm:shape xmlns:r="http://schemas.openxmlformats.org/officeDocument/2006/relationships" r:blip="">
                          <dgm:adjLst/>
                        </dgm:shape>
                        <dgm:presOf/>
                        <dgm:constrLst>
                          <dgm:constr type="alignOff" val="0.25"/>
                        </dgm:constrLst>
                      </dgm:else>
                    </dgm:choose>
                  </dgm:if>
                  <dgm:if name="Name59" func="var" arg="hierBranch" op="equ" val="r">
                    <dgm:choose name="Name60">
                      <dgm:if name="Name61" axis="ch" ptType="asst" func="cnt" op="gte" val="1">
                        <dgm:alg type="hierRoot">
                          <dgm:param type="hierAlign" val="tL"/>
                        </dgm:alg>
                        <dgm:shape xmlns:r="http://schemas.openxmlformats.org/officeDocument/2006/relationships" r:blip="">
                          <dgm:adjLst/>
                        </dgm:shape>
                        <dgm:presOf/>
                        <dgm:constrLst>
                          <dgm:constr type="alignOff" val="0.65"/>
                        </dgm:constrLst>
                      </dgm:if>
                      <dgm:else name="Name62">
                        <dgm:alg type="hierRoot">
                          <dgm:param type="hierAlign" val="tL"/>
                        </dgm:alg>
                        <dgm:shape xmlns:r="http://schemas.openxmlformats.org/officeDocument/2006/relationships" r:blip="">
                          <dgm:adjLst/>
                        </dgm:shape>
                        <dgm:presOf/>
                        <dgm:constrLst>
                          <dgm:constr type="alignOff" val="0.25"/>
                        </dgm:constrLst>
                      </dgm:else>
                    </dgm:choose>
                  </dgm:if>
                  <dgm:if name="Name63" func="var" arg="hierBranch" op="equ" val="std">
                    <dgm:alg type="hierRoot"/>
                    <dgm:shape xmlns:r="http://schemas.openxmlformats.org/officeDocument/2006/relationships" r:blip="">
                      <dgm:adjLst/>
                    </dgm:shape>
                    <dgm:presOf/>
                    <dgm:constrLst>
                      <dgm:constr type="alignOff"/>
                      <dgm:constr type="bendDist" for="des" ptType="parTrans" refType="sp" fact="0.5"/>
                    </dgm:constrLst>
                  </dgm:if>
                  <dgm:if name="Name64" func="var" arg="hierBranch" op="equ" val="init">
                    <dgm:alg type="hierRoot"/>
                    <dgm:shape xmlns:r="http://schemas.openxmlformats.org/officeDocument/2006/relationships" r:blip="">
                      <dgm:adjLst/>
                    </dgm:shape>
                    <dgm:presOf/>
                    <dgm:constrLst>
                      <dgm:constr type="alignOff"/>
                      <dgm:constr type="bendDist" for="des" ptType="parTrans" refType="sp" fact="0.5"/>
                    </dgm:constrLst>
                  </dgm:if>
                  <dgm:else name="Name65">
                    <dgm:alg type="hierRoot"/>
                    <dgm:shape xmlns:r="http://schemas.openxmlformats.org/officeDocument/2006/relationships" r:blip="">
                      <dgm:adjLst/>
                    </dgm:shape>
                    <dgm:presOf/>
                    <dgm:constrLst>
                      <dgm:constr type="alignOff" val="0.65"/>
                    </dgm:constrLst>
                  </dgm:else>
                </dgm:choose>
                <dgm:ruleLst/>
                <dgm:layoutNode name="rootComposite">
                  <dgm:alg type="composite"/>
                  <dgm:shape xmlns:r="http://schemas.openxmlformats.org/officeDocument/2006/relationships" r:blip="">
                    <dgm:adjLst/>
                  </dgm:shape>
                  <dgm:presOf axis="self" ptType="node" cnt="1"/>
                  <dgm:choose name="Name66">
                    <dgm:if name="Name67" func="var" arg="hierBranch" op="equ" val="init">
                      <dgm:constrLst>
                        <dgm:constr type="l" for="ch" forName="rootText"/>
                        <dgm:constr type="t" for="ch" forName="rootText"/>
                        <dgm:constr type="w" for="ch" forName="rootText" refType="w"/>
                        <dgm:constr type="h" for="ch" forName="rootText" refType="h" fact="0.9"/>
                        <dgm:constr type="l" for="ch" forName="titleText2" refType="w" fact="0.2"/>
                        <dgm:constr type="t" for="ch" forName="titleText2" refType="h" fact="0.7"/>
                        <dgm:constr type="w" for="ch" forName="titleText2" refType="w" fact="0.9"/>
                        <dgm:constr type="h" for="ch" forName="titleText2" refType="h" fact="0.3"/>
                        <dgm:constr type="primFontSz" for="des" forName="titleText2" refType="primFontSz" refFor="des" refForName="rootText1" op="lte"/>
                        <dgm:constr type="l" for="ch" forName="rootConnector"/>
                        <dgm:constr type="t" for="ch" forName="rootConnector"/>
                        <dgm:constr type="w" for="ch" forName="rootConnector" refType="w" refFor="ch" refForName="rootText" fact="0.2"/>
                        <dgm:constr type="h" for="ch" forName="rootConnector" refType="h" refFor="ch" refForName="rootText"/>
                      </dgm:constrLst>
                    </dgm:if>
                    <dgm:if name="Name68" func="var" arg="hierBranch" op="equ" val="l">
                      <dgm:constrLst>
                        <dgm:constr type="l" for="ch" forName="rootText"/>
                        <dgm:constr type="t" for="ch" forName="rootText"/>
                        <dgm:constr type="w" for="ch" forName="rootText" refType="w"/>
                        <dgm:constr type="h" for="ch" forName="rootText" refType="h" fact="0.9"/>
                        <dgm:constr type="l" for="ch" forName="titleText2" refType="w" fact="0.2"/>
                        <dgm:constr type="t" for="ch" forName="titleText2" refType="h" fact="0.7"/>
                        <dgm:constr type="w" for="ch" forName="titleText2" refType="w" fact="0.9"/>
                        <dgm:constr type="h" for="ch" forName="titleText2" refType="h" fact="0.3"/>
                        <dgm:constr type="primFontSz" for="des" forName="titleText2" refType="primFontSz" refFor="des" refForName="rootText1" op="lte"/>
                        <dgm:constr type="r" for="ch" forName="rootConnector" refType="w"/>
                        <dgm:constr type="t" for="ch" forName="rootConnector"/>
                        <dgm:constr type="w" for="ch" forName="rootConnector" refType="w" refFor="ch" refForName="rootText" fact="0.2"/>
                        <dgm:constr type="h" for="ch" forName="rootConnector" refType="h" refFor="ch" refForName="rootText"/>
                      </dgm:constrLst>
                    </dgm:if>
                    <dgm:if name="Name69" func="var" arg="hierBranch" op="equ" val="r">
                      <dgm:constrLst>
                        <dgm:constr type="l" for="ch" forName="rootText"/>
                        <dgm:constr type="t" for="ch" forName="rootText"/>
                        <dgm:constr type="w" for="ch" forName="rootText" refType="w"/>
                        <dgm:constr type="h" for="ch" forName="rootText" refType="h" fact="0.9"/>
                        <dgm:constr type="l" for="ch" forName="titleText2" refType="w" fact="0.2"/>
                        <dgm:constr type="t" for="ch" forName="titleText2" refType="h" fact="0.7"/>
                        <dgm:constr type="w" for="ch" forName="titleText2" refType="w" fact="0.9"/>
                        <dgm:constr type="h" for="ch" forName="titleText2" refType="h" fact="0.3"/>
                        <dgm:constr type="primFontSz" for="des" forName="titleText2" refType="primFontSz" refFor="des" refForName="rootText1" op="lte"/>
                        <dgm:constr type="l" for="ch" forName="rootConnector"/>
                        <dgm:constr type="t" for="ch" forName="rootConnector"/>
                        <dgm:constr type="w" for="ch" forName="rootConnector" refType="w" refFor="ch" refForName="rootText" fact="0.2"/>
                        <dgm:constr type="h" for="ch" forName="rootConnector" refType="h" refFor="ch" refForName="rootText"/>
                      </dgm:constrLst>
                    </dgm:if>
                    <dgm:else name="Name70">
                      <dgm:constrLst>
                        <dgm:constr type="l" for="ch" forName="rootText"/>
                        <dgm:constr type="t" for="ch" forName="rootText"/>
                        <dgm:constr type="w" for="ch" forName="rootText" refType="w"/>
                        <dgm:constr type="h" for="ch" forName="rootText" refType="h" fact="0.9"/>
                        <dgm:constr type="l" for="ch" forName="titleText2" refType="w" fact="0.2"/>
                        <dgm:constr type="t" for="ch" forName="titleText2" refType="h" fact="0.7"/>
                        <dgm:constr type="w" for="ch" forName="titleText2" refType="w" fact="0.9"/>
                        <dgm:constr type="h" for="ch" forName="titleText2" refType="h" fact="0.3"/>
                        <dgm:constr type="primFontSz" for="des" forName="titleText2" refType="primFontSz" refFor="des" refForName="rootText1" op="lte"/>
                        <dgm:constr type="r" for="ch" forName="rootConnector" refType="w"/>
                        <dgm:constr type="t" for="ch" forName="rootConnector"/>
                        <dgm:constr type="w" for="ch" forName="rootConnector" refType="w" refFor="ch" refForName="rootText" fact="0.2"/>
                        <dgm:constr type="h" for="ch" forName="rootConnector" refType="h" refFor="ch" refForName="rootText"/>
                      </dgm:constrLst>
                    </dgm:else>
                  </dgm:choose>
                  <dgm:ruleLst/>
                  <dgm:layoutNode name="rootText" styleLbl="node1">
                    <dgm:varLst>
                      <dgm:chMax/>
                      <dgm:chPref val="3"/>
                    </dgm:varLst>
                    <dgm:alg type="tx"/>
                    <dgm:shape xmlns:r="http://schemas.openxmlformats.org/officeDocument/2006/relationships" type="rect" r:blip="">
                      <dgm:adjLst/>
                    </dgm:shape>
                    <dgm:presOf axis="self" ptType="node" cnt="1"/>
                    <dgm:constrLst>
                      <dgm:constr type="primFontSz" val="65"/>
                      <dgm:constr type="lMarg" refType="primFontSz" fact="0.05"/>
                      <dgm:constr type="rMarg" refType="primFontSz" fact="0.05"/>
                      <dgm:constr type="tMarg" refType="primFontSz" fact="0.05"/>
                      <dgm:constr type="bMarg" refType="h" fact="0.4"/>
                    </dgm:constrLst>
                    <dgm:ruleLst>
                      <dgm:rule type="primFontSz" val="5" fact="NaN" max="NaN"/>
                    </dgm:ruleLst>
                  </dgm:layoutNode>
                  <dgm:layoutNode name="titleText2" styleLbl="fgAcc1">
                    <dgm:varLst>
                      <dgm:chMax val="0"/>
                      <dgm:chPref val="0"/>
                    </dgm:varLst>
                    <dgm:alg type="tx">
                      <dgm:param type="parTxLTRAlign" val="r"/>
                    </dgm:alg>
                    <dgm:shape xmlns:r="http://schemas.openxmlformats.org/officeDocument/2006/relationships" type="rect" r:blip="">
                      <dgm:adjLst/>
                    </dgm:shape>
                    <dgm:presOf axis="followSib" ptType="sibTrans" hideLastTrans="0" cnt="1"/>
                    <dgm:constrLst>
                      <dgm:constr type="primFontSz" val="65"/>
                      <dgm:constr type="lMarg" refType="primFontSz" fact="0.2"/>
                      <dgm:constr type="rMarg" refType="primFontSz" fact="0.2"/>
                      <dgm:constr type="tMarg" refType="primFontSz" fact="0.05"/>
                      <dgm:constr type="bMarg" refType="primFontSz" fact="0.05"/>
                    </dgm:constrLst>
                    <dgm:ruleLst>
                      <dgm:rule type="primFontSz" val="5" fact="NaN" max="NaN"/>
                    </dgm:ruleLst>
                  </dgm:layoutNode>
                  <dgm:layoutNode name="rootConnector" moveWith="rootText">
                    <dgm:alg type="sp"/>
                    <dgm:shape xmlns:r="http://schemas.openxmlformats.org/officeDocument/2006/relationships" type="rect" r:blip="" hideGeom="1">
                      <dgm:adjLst/>
                    </dgm:shape>
                    <dgm:presOf axis="self" ptType="node" cnt="1"/>
                    <dgm:constrLst/>
                    <dgm:ruleLst/>
                  </dgm:layoutNode>
                </dgm:layoutNode>
                <dgm:layoutNode name="hierChild4">
                  <dgm:choose name="Name71">
                    <dgm:if name="Name72" func="var" arg="hierBranch" op="equ" val="l">
                      <dgm:alg type="hierChild">
                        <dgm:param type="chAlign" val="r"/>
                        <dgm:param type="linDir" val="fromT"/>
                      </dgm:alg>
                    </dgm:if>
                    <dgm:if name="Name73" func="var" arg="hierBranch" op="equ" val="r">
                      <dgm:alg type="hierChild">
                        <dgm:param type="chAlign" val="l"/>
                        <dgm:param type="linDir" val="fromT"/>
                      </dgm:alg>
                    </dgm:if>
                    <dgm:if name="Name74" func="var" arg="hierBranch" op="equ" val="hang">
                      <dgm:choose name="Name75">
                        <dgm:if name="Name76" func="var" arg="dir" op="equ" val="norm">
                          <dgm:alg type="hierChild">
                            <dgm:param type="chAlign" val="l"/>
                            <dgm:param type="linDir" val="fromL"/>
                            <dgm:param type="secChAlign" val="t"/>
                            <dgm:param type="secLinDir" val="fromT"/>
                          </dgm:alg>
                        </dgm:if>
                        <dgm:else name="Name77">
                          <dgm:alg type="hierChild">
                            <dgm:param type="chAlign" val="l"/>
                            <dgm:param type="linDir" val="fromR"/>
                            <dgm:param type="secChAlign" val="t"/>
                            <dgm:param type="secLinDir" val="fromT"/>
                          </dgm:alg>
                        </dgm:else>
                      </dgm:choose>
                    </dgm:if>
                    <dgm:if name="Name78" func="var" arg="hierBranch" op="equ" val="std">
                      <dgm:choose name="Name79">
                        <dgm:if name="Name80" func="var" arg="dir" op="equ" val="norm">
                          <dgm:alg type="hierChild"/>
                        </dgm:if>
                        <dgm:else name="Name81">
                          <dgm:alg type="hierChild">
                            <dgm:param type="linDir" val="fromR"/>
                          </dgm:alg>
                        </dgm:else>
                      </dgm:choose>
                    </dgm:if>
                    <dgm:if name="Name82" func="var" arg="hierBranch" op="equ" val="init">
                      <dgm:choose name="Name83">
                        <dgm:if name="Name84" func="var" arg="dir" op="equ" val="norm">
                          <dgm:alg type="hierChild"/>
                        </dgm:if>
                        <dgm:else name="Name85">
                          <dgm:alg type="hierChild">
                            <dgm:param type="linDir" val="fromR"/>
                          </dgm:alg>
                        </dgm:else>
                      </dgm:choose>
                    </dgm:if>
                    <dgm:else name="Name86"/>
                  </dgm:choose>
                  <dgm:shape xmlns:r="http://schemas.openxmlformats.org/officeDocument/2006/relationships" r:blip="">
                    <dgm:adjLst/>
                  </dgm:shape>
                  <dgm:presOf/>
                  <dgm:constrLst/>
                  <dgm:ruleLst/>
                  <dgm:forEach name="Name87" ref="rep2a"/>
                </dgm:layoutNode>
                <dgm:layoutNode name="hierChild5">
                  <dgm:choose name="Name88">
                    <dgm:if name="Name89" func="var" arg="dir" op="equ" val="norm">
                      <dgm:alg type="hierChild">
                        <dgm:param type="chAlign" val="l"/>
                        <dgm:param type="linDir" val="fromL"/>
                        <dgm:param type="secChAlign" val="t"/>
                        <dgm:param type="secLinDir" val="fromT"/>
                      </dgm:alg>
                    </dgm:if>
                    <dgm:else name="Name90">
                      <dgm:alg type="hierChild">
                        <dgm:param type="chAlign" val="l"/>
                        <dgm:param type="linDir" val="fromR"/>
                        <dgm:param type="secChAlign" val="t"/>
                        <dgm:param type="secLinDir" val="fromT"/>
                      </dgm:alg>
                    </dgm:else>
                  </dgm:choose>
                  <dgm:shape xmlns:r="http://schemas.openxmlformats.org/officeDocument/2006/relationships" r:blip="">
                    <dgm:adjLst/>
                  </dgm:shape>
                  <dgm:presOf/>
                  <dgm:constrLst/>
                  <dgm:ruleLst/>
                  <dgm:forEach name="Name91" ref="rep2b"/>
                </dgm:layoutNode>
              </dgm:layoutNode>
            </dgm:forEach>
          </dgm:layoutNode>
          <dgm:layoutNode name="hierChild3">
            <dgm:choose name="Name92">
              <dgm:if name="Name93" func="var" arg="dir" op="equ" val="norm">
                <dgm:alg type="hierChild">
                  <dgm:param type="chAlign" val="l"/>
                  <dgm:param type="linDir" val="fromL"/>
                  <dgm:param type="secChAlign" val="t"/>
                  <dgm:param type="secLinDir" val="fromT"/>
                </dgm:alg>
              </dgm:if>
              <dgm:else name="Name94">
                <dgm:alg type="hierChild">
                  <dgm:param type="chAlign" val="l"/>
                  <dgm:param type="linDir" val="fromR"/>
                  <dgm:param type="secChAlign" val="t"/>
                  <dgm:param type="secLinDir" val="fromT"/>
                </dgm:alg>
              </dgm:else>
            </dgm:choose>
            <dgm:shape xmlns:r="http://schemas.openxmlformats.org/officeDocument/2006/relationships" r:blip="">
              <dgm:adjLst/>
            </dgm:shape>
            <dgm:presOf/>
            <dgm:constrLst/>
            <dgm:ruleLst/>
            <dgm:forEach name="rep2b" axis="ch" ptType="asst">
              <dgm:forEach name="Name95" axis="precedSib" ptType="parTrans" st="-1" cnt="1">
                <dgm:layoutNode name="Name96">
                  <dgm:alg type="conn">
                    <dgm:param type="connRout" val="bend"/>
                    <dgm:param type="dim" val="1D"/>
                    <dgm:param type="endSty" val="noArr"/>
                    <dgm:param type="begPts" val="bCtr"/>
                    <dgm:param type="endPts" val="midL midR"/>
                  </dgm:alg>
                  <dgm:shape xmlns:r="http://schemas.openxmlformats.org/officeDocument/2006/relationships" type="conn" r:blip="" zOrderOff="-99999">
                    <dgm:adjLst/>
                  </dgm:shape>
                  <dgm:presOf axis="self"/>
                  <dgm:constrLst>
                    <dgm:constr type="begPad"/>
                    <dgm:constr type="endPad"/>
                  </dgm:constrLst>
                  <dgm:ruleLst/>
                </dgm:layoutNode>
              </dgm:forEach>
              <dgm:layoutNode name="hierRoot3">
                <dgm:varLst>
                  <dgm:hierBranch val="init"/>
                </dgm:varLst>
                <dgm:choose name="Name97">
                  <dgm:if name="Name98" func="var" arg="hierBranch" op="equ" val="l">
                    <dgm:alg type="hierRoot">
                      <dgm:param type="hierAlign" val="tR"/>
                    </dgm:alg>
                    <dgm:shape xmlns:r="http://schemas.openxmlformats.org/officeDocument/2006/relationships" r:blip="">
                      <dgm:adjLst/>
                    </dgm:shape>
                    <dgm:presOf/>
                    <dgm:constrLst>
                      <dgm:constr type="alignOff" val="0.65"/>
                    </dgm:constrLst>
                  </dgm:if>
                  <dgm:if name="Name99" func="var" arg="hierBranch" op="equ" val="r">
                    <dgm:alg type="hierRoot">
                      <dgm:param type="hierAlign" val="tL"/>
                    </dgm:alg>
                    <dgm:shape xmlns:r="http://schemas.openxmlformats.org/officeDocument/2006/relationships" r:blip="">
                      <dgm:adjLst/>
                    </dgm:shape>
                    <dgm:presOf/>
                    <dgm:constrLst>
                      <dgm:constr type="alignOff" val="0.65"/>
                    </dgm:constrLst>
                  </dgm:if>
                  <dgm:if name="Name100" func="var" arg="hierBranch" op="equ" val="hang">
                    <dgm:alg type="hierRoot"/>
                    <dgm:shape xmlns:r="http://schemas.openxmlformats.org/officeDocument/2006/relationships" r:blip="">
                      <dgm:adjLst/>
                    </dgm:shape>
                    <dgm:presOf/>
                    <dgm:constrLst>
                      <dgm:constr type="alignOff" val="0.65"/>
                    </dgm:constrLst>
                  </dgm:if>
                  <dgm:if name="Name101" func="var" arg="hierBranch" op="equ" val="std">
                    <dgm:alg type="hierRoot"/>
                    <dgm:shape xmlns:r="http://schemas.openxmlformats.org/officeDocument/2006/relationships" r:blip="">
                      <dgm:adjLst/>
                    </dgm:shape>
                    <dgm:presOf/>
                    <dgm:constrLst>
                      <dgm:constr type="alignOff"/>
                      <dgm:constr type="bendDist" for="des" ptType="parTrans" refType="sp" fact="0.5"/>
                    </dgm:constrLst>
                  </dgm:if>
                  <dgm:if name="Name102" func="var" arg="hierBranch" op="equ" val="init">
                    <dgm:alg type="hierRoot"/>
                    <dgm:shape xmlns:r="http://schemas.openxmlformats.org/officeDocument/2006/relationships" r:blip="">
                      <dgm:adjLst/>
                    </dgm:shape>
                    <dgm:presOf/>
                    <dgm:constrLst>
                      <dgm:constr type="alignOff"/>
                      <dgm:constr type="bendDist" for="des" ptType="parTrans" refType="sp" fact="0.5"/>
                    </dgm:constrLst>
                  </dgm:if>
                  <dgm:else name="Name103"/>
                </dgm:choose>
                <dgm:ruleLst/>
                <dgm:layoutNode name="rootComposite3">
                  <dgm:alg type="composite"/>
                  <dgm:shape xmlns:r="http://schemas.openxmlformats.org/officeDocument/2006/relationships" r:blip="">
                    <dgm:adjLst/>
                  </dgm:shape>
                  <dgm:presOf axis="self" ptType="node" cnt="1"/>
                  <dgm:choose name="Name104">
                    <dgm:if name="Name105" func="var" arg="hierBranch" op="equ" val="init">
                      <dgm:constrLst>
                        <dgm:constr type="l" for="ch" forName="rootText3"/>
                        <dgm:constr type="t" for="ch" forName="rootText3"/>
                        <dgm:constr type="w" for="ch" forName="rootText3" refType="w"/>
                        <dgm:constr type="h" for="ch" forName="rootText3" refType="h" fact="0.9"/>
                        <dgm:constr type="l" for="ch" forName="titleText3" refType="w" fact="0.2"/>
                        <dgm:constr type="t" for="ch" forName="titleText3" refType="h" fact="0.7"/>
                        <dgm:constr type="w" for="ch" forName="titleText3" refType="w" fact="0.9"/>
                        <dgm:constr type="h" for="ch" forName="titleText3" refType="h" fact="0.3"/>
                        <dgm:constr type="primFontSz" for="des" forName="titleText3" refType="primFontSz" refFor="des" refForName="rootText3" op="lte"/>
                        <dgm:constr type="l" for="ch" forName="rootConnector3"/>
                        <dgm:constr type="t" for="ch" forName="rootConnector3"/>
                        <dgm:constr type="w" for="ch" forName="rootConnector3" refType="w" refFor="ch" refForName="rootText3" fact="0.2"/>
                        <dgm:constr type="h" for="ch" forName="rootConnector3" refType="h" refFor="ch" refForName="rootText3"/>
                      </dgm:constrLst>
                    </dgm:if>
                    <dgm:if name="Name106" func="var" arg="hierBranch" op="equ" val="l">
                      <dgm:constrLst>
                        <dgm:constr type="l" for="ch" forName="rootText3"/>
                        <dgm:constr type="t" for="ch" forName="rootText3"/>
                        <dgm:constr type="w" for="ch" forName="rootText3" refType="w"/>
                        <dgm:constr type="h" for="ch" forName="rootText3" refType="h" fact="0.9"/>
                        <dgm:constr type="l" for="ch" forName="titleText3" refType="w" fact="0.2"/>
                        <dgm:constr type="t" for="ch" forName="titleText3" refType="h" fact="0.7"/>
                        <dgm:constr type="w" for="ch" forName="titleText3" refType="w" fact="0.9"/>
                        <dgm:constr type="h" for="ch" forName="titleText3" refType="h" fact="0.3"/>
                        <dgm:constr type="primFontSz" for="des" forName="titleText3" refType="primFontSz" refFor="des" refForName="rootText3" op="lte"/>
                        <dgm:constr type="r" for="ch" forName="rootConnector3" refType="w"/>
                        <dgm:constr type="t" for="ch" forName="rootConnector3"/>
                        <dgm:constr type="w" for="ch" forName="rootConnector3" refType="w" refFor="ch" refForName="rootText3" fact="0.2"/>
                        <dgm:constr type="h" for="ch" forName="rootConnector3" refType="h" refFor="ch" refForName="rootText3"/>
                      </dgm:constrLst>
                    </dgm:if>
                    <dgm:if name="Name107" func="var" arg="hierBranch" op="equ" val="r">
                      <dgm:constrLst>
                        <dgm:constr type="l" for="ch" forName="rootText3"/>
                        <dgm:constr type="t" for="ch" forName="rootText3"/>
                        <dgm:constr type="w" for="ch" forName="rootText3" refType="w"/>
                        <dgm:constr type="h" for="ch" forName="rootText3" refType="h" fact="0.9"/>
                        <dgm:constr type="l" for="ch" forName="titleText3" refType="w" fact="0.2"/>
                        <dgm:constr type="t" for="ch" forName="titleText3" refType="h" fact="0.7"/>
                        <dgm:constr type="w" for="ch" forName="titleText3" refType="w" fact="0.9"/>
                        <dgm:constr type="h" for="ch" forName="titleText3" refType="h" fact="0.3"/>
                        <dgm:constr type="primFontSz" for="des" forName="titleText3" refType="primFontSz" refFor="des" refForName="rootText3" op="lte"/>
                        <dgm:constr type="l" for="ch" forName="rootConnector3"/>
                        <dgm:constr type="t" for="ch" forName="rootConnector3"/>
                        <dgm:constr type="w" for="ch" forName="rootConnector3" refType="w" refFor="ch" refForName="rootText3" fact="0.2"/>
                        <dgm:constr type="h" for="ch" forName="rootConnector3" refType="h" refFor="ch" refForName="rootText3"/>
                      </dgm:constrLst>
                    </dgm:if>
                    <dgm:else name="Name108">
                      <dgm:constrLst>
                        <dgm:constr type="l" for="ch" forName="rootText3"/>
                        <dgm:constr type="t" for="ch" forName="rootText3"/>
                        <dgm:constr type="w" for="ch" forName="rootText3" refType="w"/>
                        <dgm:constr type="h" for="ch" forName="rootText3" refType="h" fact="0.9"/>
                        <dgm:constr type="l" for="ch" forName="titleText3" refType="w" fact="0.2"/>
                        <dgm:constr type="t" for="ch" forName="titleText3" refType="h" fact="0.7"/>
                        <dgm:constr type="w" for="ch" forName="titleText3" refType="w" fact="0.9"/>
                        <dgm:constr type="h" for="ch" forName="titleText3" refType="h" fact="0.3"/>
                        <dgm:constr type="primFontSz" for="des" forName="titleText3" refType="primFontSz" refFor="des" refForName="rootText3" op="lte"/>
                        <dgm:constr type="r" for="ch" forName="rootConnector3" refType="w"/>
                        <dgm:constr type="t" for="ch" forName="rootConnector3"/>
                        <dgm:constr type="w" for="ch" forName="rootConnector3" refType="w" refFor="ch" refForName="rootText3" fact="0.2"/>
                        <dgm:constr type="h" for="ch" forName="rootConnector3" refType="h" refFor="ch" refForName="rootText3"/>
                      </dgm:constrLst>
                    </dgm:else>
                  </dgm:choose>
                  <dgm:ruleLst/>
                  <dgm:layoutNode name="rootText3" styleLbl="asst1">
                    <dgm:varLst>
                      <dgm:chPref val="3"/>
                    </dgm:varLst>
                    <dgm:alg type="tx"/>
                    <dgm:shape xmlns:r="http://schemas.openxmlformats.org/officeDocument/2006/relationships" type="rect" r:blip="">
                      <dgm:adjLst/>
                    </dgm:shape>
                    <dgm:presOf axis="self" ptType="node" cnt="1"/>
                    <dgm:constrLst>
                      <dgm:constr type="primFontSz" val="65"/>
                      <dgm:constr type="lMarg" refType="primFontSz" fact="0.05"/>
                      <dgm:constr type="rMarg" refType="primFontSz" fact="0.05"/>
                      <dgm:constr type="tMarg" refType="primFontSz" fact="0.05"/>
                      <dgm:constr type="bMarg" refType="h" fact="0.4"/>
                    </dgm:constrLst>
                    <dgm:ruleLst>
                      <dgm:rule type="primFontSz" val="5" fact="NaN" max="NaN"/>
                    </dgm:ruleLst>
                  </dgm:layoutNode>
                  <dgm:layoutNode name="titleText3" styleLbl="fgAcc2">
                    <dgm:varLst>
                      <dgm:chMax val="0"/>
                      <dgm:chPref val="0"/>
                    </dgm:varLst>
                    <dgm:alg type="tx">
                      <dgm:param type="parTxLTRAlign" val="r"/>
                    </dgm:alg>
                    <dgm:shape xmlns:r="http://schemas.openxmlformats.org/officeDocument/2006/relationships" type="rect" r:blip="">
                      <dgm:adjLst/>
                    </dgm:shape>
                    <dgm:presOf axis="followSib" ptType="sibTrans" hideLastTrans="0" cnt="1"/>
                    <dgm:constrLst>
                      <dgm:constr type="primFontSz" val="65"/>
                      <dgm:constr type="lMarg" refType="primFontSz" fact="0.2"/>
                      <dgm:constr type="rMarg" refType="primFontSz" fact="0.2"/>
                      <dgm:constr type="tMarg" refType="primFontSz" fact="0.05"/>
                      <dgm:constr type="bMarg" refType="primFontSz" fact="0.05"/>
                    </dgm:constrLst>
                    <dgm:ruleLst>
                      <dgm:rule type="primFontSz" val="5" fact="NaN" max="NaN"/>
                    </dgm:ruleLst>
                  </dgm:layoutNode>
                  <dgm:layoutNode name="rootConnector3" moveWith="rootText1">
                    <dgm:alg type="sp"/>
                    <dgm:shape xmlns:r="http://schemas.openxmlformats.org/officeDocument/2006/relationships" type="rect" r:blip="" hideGeom="1">
                      <dgm:adjLst/>
                    </dgm:shape>
                    <dgm:presOf axis="self" ptType="node" cnt="1"/>
                    <dgm:constrLst/>
                    <dgm:ruleLst/>
                  </dgm:layoutNode>
                </dgm:layoutNode>
                <dgm:layoutNode name="hierChild6">
                  <dgm:choose name="Name109">
                    <dgm:if name="Name110" func="var" arg="hierBranch" op="equ" val="l">
                      <dgm:alg type="hierChild">
                        <dgm:param type="chAlign" val="r"/>
                        <dgm:param type="linDir" val="fromT"/>
                      </dgm:alg>
                    </dgm:if>
                    <dgm:if name="Name111" func="var" arg="hierBranch" op="equ" val="r">
                      <dgm:alg type="hierChild">
                        <dgm:param type="chAlign" val="l"/>
                        <dgm:param type="linDir" val="fromT"/>
                      </dgm:alg>
                    </dgm:if>
                    <dgm:if name="Name112" func="var" arg="hierBranch" op="equ" val="hang">
                      <dgm:choose name="Name113">
                        <dgm:if name="Name114" func="var" arg="dir" op="equ" val="norm">
                          <dgm:alg type="hierChild">
                            <dgm:param type="chAlign" val="l"/>
                            <dgm:param type="linDir" val="fromL"/>
                            <dgm:param type="secChAlign" val="t"/>
                            <dgm:param type="secLinDir" val="fromT"/>
                          </dgm:alg>
                        </dgm:if>
                        <dgm:else name="Name115">
                          <dgm:alg type="hierChild">
                            <dgm:param type="chAlign" val="l"/>
                            <dgm:param type="linDir" val="fromR"/>
                            <dgm:param type="secChAlign" val="t"/>
                            <dgm:param type="secLinDir" val="fromT"/>
                          </dgm:alg>
                        </dgm:else>
                      </dgm:choose>
                    </dgm:if>
                    <dgm:if name="Name116" func="var" arg="hierBranch" op="equ" val="std">
                      <dgm:choose name="Name117">
                        <dgm:if name="Name118" func="var" arg="dir" op="equ" val="norm">
                          <dgm:alg type="hierChild"/>
                        </dgm:if>
                        <dgm:else name="Name119">
                          <dgm:alg type="hierChild">
                            <dgm:param type="linDir" val="fromR"/>
                          </dgm:alg>
                        </dgm:else>
                      </dgm:choose>
                    </dgm:if>
                    <dgm:if name="Name120" func="var" arg="hierBranch" op="equ" val="init">
                      <dgm:alg type="hierChild"/>
                    </dgm:if>
                    <dgm:else name="Name121"/>
                  </dgm:choose>
                  <dgm:shape xmlns:r="http://schemas.openxmlformats.org/officeDocument/2006/relationships" r:blip="">
                    <dgm:adjLst/>
                  </dgm:shape>
                  <dgm:presOf/>
                  <dgm:constrLst/>
                  <dgm:ruleLst/>
                  <dgm:forEach name="Name122" ref="rep2a"/>
                </dgm:layoutNode>
                <dgm:layoutNode name="hierChild7">
                  <dgm:choose name="Name123">
                    <dgm:if name="Name124" func="var" arg="dir" op="equ" val="norm">
                      <dgm:alg type="hierChild">
                        <dgm:param type="chAlign" val="l"/>
                        <dgm:param type="linDir" val="fromL"/>
                        <dgm:param type="secChAlign" val="t"/>
                        <dgm:param type="secLinDir" val="fromT"/>
                      </dgm:alg>
                    </dgm:if>
                    <dgm:else name="Name125">
                      <dgm:alg type="hierChild">
                        <dgm:param type="chAlign" val="l"/>
                        <dgm:param type="linDir" val="fromR"/>
                        <dgm:param type="secChAlign" val="t"/>
                        <dgm:param type="secLinDir" val="fromT"/>
                      </dgm:alg>
                    </dgm:else>
                  </dgm:choose>
                  <dgm:shape xmlns:r="http://schemas.openxmlformats.org/officeDocument/2006/relationships" r:blip="">
                    <dgm:adjLst/>
                  </dgm:shape>
                  <dgm:presOf/>
                  <dgm:constrLst/>
                  <dgm:ruleLst/>
                  <dgm:forEach name="Name126" ref="rep2b"/>
                </dgm:layoutNode>
              </dgm:layoutNode>
            </dgm:forEach>
          </dgm:layoutNode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3d1">
  <dgm:title val=""/>
  <dgm:desc val=""/>
  <dgm:catLst>
    <dgm:cat type="3D" pri="11100"/>
  </dgm:catLst>
  <dgm:scene3d>
    <a:camera prst="orthographicFront"/>
    <a:lightRig rig="threePt" dir="t"/>
  </dgm:scene3d>
  <dgm:styleLbl name="node0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flat" dir="t"/>
    </dgm:scene3d>
    <dgm:sp3d z="127000" prstMaterial="plastic">
      <a:bevelT w="88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/>
    </dgm:style>
  </dgm:styleLbl>
  <dgm:styleLbl name="alignImgPlace1">
    <dgm:scene3d>
      <a:camera prst="orthographicFront"/>
      <a:lightRig rig="flat" dir="t"/>
    </dgm:scene3d>
    <dgm:sp3d prstMaterial="plastic">
      <a:bevelT w="88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/>
    </dgm:style>
  </dgm:styleLbl>
  <dgm:styleLbl name="bgImgPlace1">
    <dgm:scene3d>
      <a:camera prst="orthographicFront"/>
      <a:lightRig rig="flat" dir="t"/>
    </dgm:scene3d>
    <dgm:sp3d z="-190500" prstMaterial="plastic">
      <a:bevelT w="88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/>
    </dgm:style>
  </dgm:styleLbl>
  <dgm:styleLbl name="sibTrans2D1">
    <dgm:scene3d>
      <a:camera prst="orthographicFront"/>
      <a:lightRig rig="flat" dir="t"/>
    </dgm:scene3d>
    <dgm:sp3d z="-80000" prstMaterial="plastic">
      <a:bevelT w="50800" h="50800"/>
      <a:bevelB w="25400" h="25400" prst="angle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flat" dir="t"/>
    </dgm:scene3d>
    <dgm:sp3d z="127000" prstMaterial="plastic">
      <a:bevelT w="50800" h="50800"/>
      <a:bevelB w="25400" h="25400" prst="angle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flat" dir="t"/>
    </dgm:scene3d>
    <dgm:sp3d z="-190500" prstMaterial="plastic">
      <a:bevelT w="50800" h="50800"/>
      <a:bevelB w="25400" h="25400" prst="angle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flat" dir="t"/>
    </dgm:scene3d>
    <dgm:sp3d z="-40000" prstMaterial="matte"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 z="127000" prstMaterial="matte"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flat" dir="t"/>
    </dgm:scene3d>
    <dgm:sp3d z="-100000"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flat" dir="t"/>
    </dgm:scene3d>
    <dgm:sp3d z="-60000"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flat" dir="t"/>
    </dgm:scene3d>
    <dgm:sp3d z="-60000"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flat" dir="t"/>
    </dgm:scene3d>
    <dgm:sp3d z="-60000"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flat" dir="t"/>
    </dgm:scene3d>
    <dgm:sp3d prstMaterial="matte"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flat" dir="t"/>
    </dgm:scene3d>
    <dgm:sp3d prstMaterial="matte"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flat" dir="t"/>
    </dgm:scene3d>
    <dgm:sp3d prstMaterial="matte"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flat" dir="t"/>
    </dgm:scene3d>
    <dgm:sp3d prstMaterial="matte"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flat" dir="t"/>
    </dgm:scene3d>
    <dgm:sp3d z="190500"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conFgAcc1">
    <dgm:scene3d>
      <a:camera prst="orthographicFront"/>
      <a:lightRig rig="flat" dir="t"/>
    </dgm:scene3d>
    <dgm:sp3d z="190500"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alignAcc1">
    <dgm:scene3d>
      <a:camera prst="orthographicFront"/>
      <a:lightRig rig="flat" dir="t"/>
    </dgm:scene3d>
    <dgm:sp3d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trAlignAcc1">
    <dgm:scene3d>
      <a:camera prst="orthographicFront"/>
      <a:lightRig rig="flat" dir="t"/>
    </dgm:scene3d>
    <dgm:sp3d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Acc1">
    <dgm:scene3d>
      <a:camera prst="orthographicFront"/>
      <a:lightRig rig="flat" dir="t"/>
    </dgm:scene3d>
    <dgm:sp3d z="-190500"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olidFgAcc1">
    <dgm:scene3d>
      <a:camera prst="orthographicFront"/>
      <a:lightRig rig="flat" dir="t"/>
    </dgm:scene3d>
    <dgm:sp3d z="190500"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olidAlignAcc1">
    <dgm:scene3d>
      <a:camera prst="orthographicFront"/>
      <a:lightRig rig="flat" dir="t"/>
    </dgm:scene3d>
    <dgm:sp3d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olidBgAcc1">
    <dgm:scene3d>
      <a:camera prst="orthographicFront"/>
      <a:lightRig rig="flat" dir="t"/>
    </dgm:scene3d>
    <dgm:sp3d z="-190500"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fgAccFollowNode1">
    <dgm:scene3d>
      <a:camera prst="orthographicFront"/>
      <a:lightRig rig="flat" dir="t"/>
    </dgm:scene3d>
    <dgm:sp3d z="190500"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alignAccFollowNode1">
    <dgm:scene3d>
      <a:camera prst="orthographicFront"/>
      <a:lightRig rig="flat" dir="t"/>
    </dgm:scene3d>
    <dgm:sp3d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AccFollowNode1">
    <dgm:scene3d>
      <a:camera prst="orthographicFront"/>
      <a:lightRig rig="flat" dir="t"/>
    </dgm:scene3d>
    <dgm:sp3d z="-190500"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fgAcc0">
    <dgm:scene3d>
      <a:camera prst="orthographicFront"/>
      <a:lightRig rig="flat" dir="t"/>
    </dgm:scene3d>
    <dgm:sp3d z="190500"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fgAcc2">
    <dgm:scene3d>
      <a:camera prst="orthographicFront"/>
      <a:lightRig rig="flat" dir="t"/>
    </dgm:scene3d>
    <dgm:sp3d z="190500"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fgAcc3">
    <dgm:scene3d>
      <a:camera prst="orthographicFront"/>
      <a:lightRig rig="flat" dir="t"/>
    </dgm:scene3d>
    <dgm:sp3d z="190500"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fgAcc4">
    <dgm:scene3d>
      <a:camera prst="orthographicFront"/>
      <a:lightRig rig="flat" dir="t"/>
    </dgm:scene3d>
    <dgm:sp3d z="190500"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Shp">
    <dgm:scene3d>
      <a:camera prst="orthographicFront"/>
      <a:lightRig rig="flat" dir="t"/>
    </dgm:scene3d>
    <dgm:sp3d z="-190500" extrusionH="12700" prstMaterial="plastic">
      <a:bevelT w="50800" h="50800"/>
    </dgm:sp3d>
    <dgm:txPr/>
    <dgm:style>
      <a:lnRef idx="0">
        <a:scrgbClr r="0" g="0" b="0"/>
      </a:lnRef>
      <a:fillRef idx="3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flat" dir="t"/>
    </dgm:scene3d>
    <dgm:sp3d z="-190500" extrusionH="12700" prstMaterial="plastic">
      <a:bevelT w="50800" h="50800"/>
    </dgm:sp3d>
    <dgm:txPr/>
    <dgm:style>
      <a:lnRef idx="0">
        <a:scrgbClr r="0" g="0" b="0"/>
      </a:lnRef>
      <a:fillRef idx="2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flat" dir="t"/>
    </dgm:scene3d>
    <dgm:sp3d z="-190500" extrusionH="12700" prstMaterial="matte"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flat" dir="t"/>
    </dgm:scene3d>
    <dgm:sp3d z="190500" prstMaterial="plastic">
      <a:bevelT w="120900" h="88900"/>
      <a:bevelB w="88900" h="31750" prst="angle"/>
    </dgm:sp3d>
    <dgm:txPr/>
    <dgm:style>
      <a:lnRef idx="0">
        <a:scrgbClr r="0" g="0" b="0"/>
      </a:lnRef>
      <a:fillRef idx="1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diagramData" Target="../diagrams/data1.xml"/><Relationship Id="rId7" Type="http://schemas.microsoft.com/office/2007/relationships/diagramDrawing" Target="../diagrams/drawing1.xml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openxmlformats.org/officeDocument/2006/relationships/diagramColors" Target="../diagrams/colors1.xml"/><Relationship Id="rId5" Type="http://schemas.openxmlformats.org/officeDocument/2006/relationships/diagramQuickStyle" Target="../diagrams/quickStyle1.xml"/><Relationship Id="rId4" Type="http://schemas.openxmlformats.org/officeDocument/2006/relationships/diagramLayout" Target="../diagrams/layou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</xdr:colOff>
      <xdr:row>2</xdr:row>
      <xdr:rowOff>0</xdr:rowOff>
    </xdr:from>
    <xdr:to>
      <xdr:col>10</xdr:col>
      <xdr:colOff>17093</xdr:colOff>
      <xdr:row>21</xdr:row>
      <xdr:rowOff>38100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6496BDBD-05FA-444D-A5B5-E659273646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grayscl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artisticFilmGrain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1" y="381000"/>
          <a:ext cx="5503492" cy="3657600"/>
        </a:xfrm>
        <a:prstGeom prst="rect">
          <a:avLst/>
        </a:prstGeom>
        <a:effectLst>
          <a:softEdge rad="635000"/>
        </a:effectLst>
      </xdr:spPr>
    </xdr:pic>
    <xdr:clientData/>
  </xdr:twoCellAnchor>
  <xdr:oneCellAnchor>
    <xdr:from>
      <xdr:col>2</xdr:col>
      <xdr:colOff>567994</xdr:colOff>
      <xdr:row>17</xdr:row>
      <xdr:rowOff>7435</xdr:rowOff>
    </xdr:from>
    <xdr:ext cx="3035959" cy="937629"/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DD86D99C-DEFD-4FFD-9293-C1C34C852540}"/>
            </a:ext>
          </a:extLst>
        </xdr:cNvPr>
        <xdr:cNvSpPr/>
      </xdr:nvSpPr>
      <xdr:spPr>
        <a:xfrm>
          <a:off x="1787194" y="3245935"/>
          <a:ext cx="3035959" cy="937629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>
          <a:solidFill>
            <a:schemeClr val="bg1">
              <a:lumMod val="65000"/>
            </a:schemeClr>
          </a:solidFill>
        </a:ln>
        <a:effectLst>
          <a:outerShdw blurRad="50800" dist="50800" dir="5400000" algn="ctr" rotWithShape="0">
            <a:schemeClr val="accent5">
              <a:lumMod val="75000"/>
            </a:schemeClr>
          </a:outerShdw>
        </a:effectLst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1" cap="none" spc="0">
              <a:ln w="22225">
                <a:solidFill>
                  <a:srgbClr val="FFFFFF"/>
                </a:solidFill>
                <a:prstDash val="solid"/>
              </a:ln>
              <a:solidFill>
                <a:srgbClr val="0072BB"/>
              </a:solidFill>
              <a:effectLst>
                <a:outerShdw blurRad="50800" dist="50800" dir="5400000" algn="ctr" rotWithShape="0">
                  <a:srgbClr val="0072BB"/>
                </a:outerShdw>
              </a:effectLst>
            </a:rPr>
            <a:t>Gull</a:t>
          </a:r>
          <a:r>
            <a:rPr lang="en-US" sz="5400" b="1" cap="none" spc="0" baseline="0">
              <a:ln w="22225">
                <a:solidFill>
                  <a:srgbClr val="FFFFFF"/>
                </a:solidFill>
                <a:prstDash val="solid"/>
              </a:ln>
              <a:solidFill>
                <a:srgbClr val="0072BB"/>
              </a:solidFill>
              <a:effectLst>
                <a:outerShdw blurRad="50800" dist="50800" dir="5400000" algn="ctr" rotWithShape="0">
                  <a:srgbClr val="0072BB"/>
                </a:outerShdw>
              </a:effectLst>
            </a:rPr>
            <a:t> Corp.</a:t>
          </a:r>
        </a:p>
      </xdr:txBody>
    </xdr:sp>
    <xdr:clientData/>
  </xdr:oneCellAnchor>
  <xdr:twoCellAnchor>
    <xdr:from>
      <xdr:col>10</xdr:col>
      <xdr:colOff>304800</xdr:colOff>
      <xdr:row>5</xdr:row>
      <xdr:rowOff>104775</xdr:rowOff>
    </xdr:from>
    <xdr:to>
      <xdr:col>18</xdr:col>
      <xdr:colOff>0</xdr:colOff>
      <xdr:row>19</xdr:row>
      <xdr:rowOff>180975</xdr:rowOff>
    </xdr:to>
    <xdr:graphicFrame macro="">
      <xdr:nvGraphicFramePr>
        <xdr:cNvPr id="10" name="Diagram 9">
          <a:extLst>
            <a:ext uri="{FF2B5EF4-FFF2-40B4-BE49-F238E27FC236}">
              <a16:creationId xmlns:a16="http://schemas.microsoft.com/office/drawing/2014/main" id="{41AB3EC3-5C58-4BB2-88EF-621BC6FF37B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3" r:lo="rId4" r:qs="rId5" r:cs="rId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Dad\Desktop\Excel\Excel%20-%20Jan2016-1\2013\Excel%202013%20-%20Lesson%204%20&amp;%205%20Assignment%20-%20Shannon_Burn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Cell References"/>
      <sheetName val="Formulas"/>
      <sheetName val="Functions"/>
    </sheetNames>
    <sheetDataSet>
      <sheetData sheetId="0" refreshError="1"/>
      <sheetData sheetId="1" refreshError="1"/>
      <sheetData sheetId="2" refreshError="1"/>
      <sheetData sheetId="3">
        <row r="4">
          <cell r="C4">
            <v>0.5</v>
          </cell>
        </row>
        <row r="5">
          <cell r="C5">
            <v>5</v>
          </cell>
        </row>
        <row r="6">
          <cell r="C6">
            <v>25</v>
          </cell>
        </row>
        <row r="7">
          <cell r="C7">
            <v>1</v>
          </cell>
        </row>
        <row r="8">
          <cell r="C8">
            <v>0.75</v>
          </cell>
        </row>
        <row r="9">
          <cell r="C9">
            <v>29</v>
          </cell>
        </row>
        <row r="10">
          <cell r="C10">
            <v>40</v>
          </cell>
        </row>
      </sheetData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71E371E-8A0B-4B3D-BBB1-A884DDF260F7}" autoFormatId="16" applyNumberFormats="0" applyBorderFormats="0" applyFontFormats="0" applyPatternFormats="0" applyAlignmentFormats="0" applyWidthHeightFormats="0">
  <queryTableRefresh nextId="6">
    <queryTableFields count="5">
      <queryTableField id="1" name="ID" tableColumnId="1"/>
      <queryTableField id="2" name="Song" tableColumnId="2"/>
      <queryTableField id="3" name="Performer" tableColumnId="3"/>
      <queryTableField id="4" name="Album" tableColumnId="4"/>
      <queryTableField id="5" name="Genre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824E85A-83F1-4AC3-BFE2-D3EF40F38614}" name="MusicCollection__2" displayName="MusicCollection__2" ref="A2:E13" tableType="queryTable" totalsRowShown="0">
  <autoFilter ref="A2:E13" xr:uid="{C824E85A-83F1-4AC3-BFE2-D3EF40F38614}"/>
  <tableColumns count="5">
    <tableColumn id="1" xr3:uid="{9DA9258E-47CC-46CE-9213-EBD9A29DE619}" uniqueName="1" name="ID" queryTableFieldId="1"/>
    <tableColumn id="2" xr3:uid="{7B2BFC57-3F9D-4EBD-AA78-414FA76B9304}" uniqueName="2" name="Song" queryTableFieldId="2" dataDxfId="3"/>
    <tableColumn id="3" xr3:uid="{BB13A89C-002B-4B2C-8FE3-A67AD47E98A7}" uniqueName="3" name="Performer" queryTableFieldId="3" dataDxfId="2"/>
    <tableColumn id="4" xr3:uid="{319020CA-BA9F-4697-9EC3-F00B86F03F49}" uniqueName="4" name="Album" queryTableFieldId="4" dataDxfId="1"/>
    <tableColumn id="5" xr3:uid="{437F9C88-8EF1-4179-B357-F91DEDB68BA4}" uniqueName="5" name="Genre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34"/>
  <sheetViews>
    <sheetView tabSelected="1" zoomScaleNormal="100" workbookViewId="0">
      <selection activeCell="C4" sqref="C4:C32"/>
    </sheetView>
  </sheetViews>
  <sheetFormatPr defaultRowHeight="15" x14ac:dyDescent="0.25"/>
  <cols>
    <col min="1" max="2" width="8" customWidth="1"/>
    <col min="3" max="3" width="107.5703125" customWidth="1"/>
  </cols>
  <sheetData>
    <row r="1" spans="1:3" x14ac:dyDescent="0.25">
      <c r="A1" s="11" t="s">
        <v>79</v>
      </c>
      <c r="B1" s="11" t="s">
        <v>80</v>
      </c>
      <c r="C1" s="12"/>
    </row>
    <row r="2" spans="1:3" ht="64.5" x14ac:dyDescent="0.25">
      <c r="A2" s="22"/>
      <c r="B2" s="13">
        <v>2</v>
      </c>
      <c r="C2" s="14" t="s">
        <v>91</v>
      </c>
    </row>
    <row r="3" spans="1:3" x14ac:dyDescent="0.25">
      <c r="A3" s="15"/>
      <c r="B3" s="15"/>
      <c r="C3" s="16" t="s">
        <v>81</v>
      </c>
    </row>
    <row r="4" spans="1:3" ht="90" x14ac:dyDescent="0.25">
      <c r="A4" s="22"/>
      <c r="B4" s="13">
        <v>8</v>
      </c>
      <c r="C4" s="14" t="s">
        <v>92</v>
      </c>
    </row>
    <row r="5" spans="1:3" x14ac:dyDescent="0.25">
      <c r="A5" s="22"/>
      <c r="B5" s="13">
        <v>2</v>
      </c>
      <c r="C5" s="14" t="s">
        <v>93</v>
      </c>
    </row>
    <row r="6" spans="1:3" ht="128.25" x14ac:dyDescent="0.25">
      <c r="A6" s="22"/>
      <c r="B6" s="13">
        <v>12</v>
      </c>
      <c r="C6" s="14" t="s">
        <v>113</v>
      </c>
    </row>
    <row r="7" spans="1:3" x14ac:dyDescent="0.25">
      <c r="A7" s="15"/>
      <c r="B7" s="15"/>
      <c r="C7" s="16" t="s">
        <v>82</v>
      </c>
    </row>
    <row r="8" spans="1:3" ht="26.25" x14ac:dyDescent="0.25">
      <c r="A8" s="22"/>
      <c r="B8" s="13">
        <v>5</v>
      </c>
      <c r="C8" s="14" t="s">
        <v>94</v>
      </c>
    </row>
    <row r="9" spans="1:3" x14ac:dyDescent="0.25">
      <c r="A9" s="15"/>
      <c r="B9" s="15"/>
      <c r="C9" s="16" t="s">
        <v>83</v>
      </c>
    </row>
    <row r="10" spans="1:3" ht="26.25" x14ac:dyDescent="0.25">
      <c r="A10" s="17"/>
      <c r="B10" s="13">
        <v>2</v>
      </c>
      <c r="C10" s="14" t="s">
        <v>95</v>
      </c>
    </row>
    <row r="11" spans="1:3" ht="64.5" x14ac:dyDescent="0.25">
      <c r="A11" s="17"/>
      <c r="B11" s="13">
        <v>6</v>
      </c>
      <c r="C11" s="14" t="s">
        <v>112</v>
      </c>
    </row>
    <row r="12" spans="1:3" x14ac:dyDescent="0.25">
      <c r="A12" s="15"/>
      <c r="B12" s="15"/>
      <c r="C12" s="16" t="s">
        <v>84</v>
      </c>
    </row>
    <row r="13" spans="1:3" x14ac:dyDescent="0.25">
      <c r="A13" s="17"/>
      <c r="B13" s="13">
        <v>2</v>
      </c>
      <c r="C13" s="14" t="s">
        <v>96</v>
      </c>
    </row>
    <row r="14" spans="1:3" x14ac:dyDescent="0.25">
      <c r="A14" s="15"/>
      <c r="B14" s="15"/>
      <c r="C14" s="16" t="s">
        <v>85</v>
      </c>
    </row>
    <row r="15" spans="1:3" x14ac:dyDescent="0.25">
      <c r="A15" s="17"/>
      <c r="B15" s="13">
        <v>2</v>
      </c>
      <c r="C15" s="14" t="s">
        <v>97</v>
      </c>
    </row>
    <row r="16" spans="1:3" ht="28.5" customHeight="1" x14ac:dyDescent="0.25">
      <c r="A16" s="17"/>
      <c r="B16" s="13">
        <v>8</v>
      </c>
      <c r="C16" s="14" t="s">
        <v>98</v>
      </c>
    </row>
    <row r="17" spans="1:3" x14ac:dyDescent="0.25">
      <c r="A17" s="17"/>
      <c r="B17" s="13">
        <v>2</v>
      </c>
      <c r="C17" s="14" t="s">
        <v>87</v>
      </c>
    </row>
    <row r="18" spans="1:3" x14ac:dyDescent="0.25">
      <c r="A18" s="15"/>
      <c r="B18" s="15"/>
      <c r="C18" s="16" t="s">
        <v>86</v>
      </c>
    </row>
    <row r="19" spans="1:3" ht="26.25" x14ac:dyDescent="0.25">
      <c r="A19" s="17"/>
      <c r="B19" s="13">
        <v>3</v>
      </c>
      <c r="C19" s="14" t="s">
        <v>99</v>
      </c>
    </row>
    <row r="20" spans="1:3" ht="26.25" x14ac:dyDescent="0.25">
      <c r="A20" s="17"/>
      <c r="B20" s="13">
        <v>2</v>
      </c>
      <c r="C20" s="14" t="s">
        <v>100</v>
      </c>
    </row>
    <row r="21" spans="1:3" x14ac:dyDescent="0.25">
      <c r="A21" s="17"/>
      <c r="B21" s="13">
        <v>2</v>
      </c>
      <c r="C21" s="14" t="s">
        <v>101</v>
      </c>
    </row>
    <row r="22" spans="1:3" x14ac:dyDescent="0.25">
      <c r="A22" s="17"/>
      <c r="B22" s="13">
        <v>2</v>
      </c>
      <c r="C22" s="14" t="s">
        <v>102</v>
      </c>
    </row>
    <row r="23" spans="1:3" x14ac:dyDescent="0.25">
      <c r="A23" s="17"/>
      <c r="B23" s="13">
        <v>2</v>
      </c>
      <c r="C23" s="14" t="s">
        <v>111</v>
      </c>
    </row>
    <row r="24" spans="1:3" ht="26.25" x14ac:dyDescent="0.25">
      <c r="A24" s="17"/>
      <c r="B24" s="13">
        <v>2</v>
      </c>
      <c r="C24" s="14" t="s">
        <v>103</v>
      </c>
    </row>
    <row r="25" spans="1:3" x14ac:dyDescent="0.25">
      <c r="A25" s="17"/>
      <c r="B25" s="13">
        <v>2</v>
      </c>
      <c r="C25" s="14" t="s">
        <v>104</v>
      </c>
    </row>
    <row r="26" spans="1:3" x14ac:dyDescent="0.25">
      <c r="A26" s="17"/>
      <c r="B26" s="13">
        <v>2</v>
      </c>
      <c r="C26" s="14" t="s">
        <v>88</v>
      </c>
    </row>
    <row r="27" spans="1:3" x14ac:dyDescent="0.25">
      <c r="A27" s="17"/>
      <c r="B27" s="13">
        <v>2</v>
      </c>
      <c r="C27" s="14" t="s">
        <v>105</v>
      </c>
    </row>
    <row r="28" spans="1:3" x14ac:dyDescent="0.25">
      <c r="A28" s="22"/>
      <c r="B28" s="13">
        <v>2</v>
      </c>
      <c r="C28" s="14" t="s">
        <v>106</v>
      </c>
    </row>
    <row r="29" spans="1:3" ht="51.75" x14ac:dyDescent="0.25">
      <c r="A29" s="22"/>
      <c r="B29" s="13">
        <v>3</v>
      </c>
      <c r="C29" s="14" t="s">
        <v>107</v>
      </c>
    </row>
    <row r="30" spans="1:3" x14ac:dyDescent="0.25">
      <c r="A30" s="22"/>
      <c r="B30" s="13">
        <v>2</v>
      </c>
      <c r="C30" s="14" t="s">
        <v>108</v>
      </c>
    </row>
    <row r="31" spans="1:3" x14ac:dyDescent="0.25">
      <c r="A31" s="22"/>
      <c r="B31" s="13">
        <v>2</v>
      </c>
      <c r="C31" s="14" t="s">
        <v>110</v>
      </c>
    </row>
    <row r="32" spans="1:3" x14ac:dyDescent="0.25">
      <c r="A32" s="17"/>
      <c r="B32" s="13">
        <v>1</v>
      </c>
      <c r="C32" s="14" t="s">
        <v>89</v>
      </c>
    </row>
    <row r="33" spans="1:3" ht="15.75" thickBot="1" x14ac:dyDescent="0.3">
      <c r="A33" s="23">
        <f>SUM(A2:A32)</f>
        <v>0</v>
      </c>
      <c r="B33" s="18">
        <f>SUM(B2:B32)</f>
        <v>80</v>
      </c>
      <c r="C33" s="19"/>
    </row>
    <row r="34" spans="1:3" ht="15.75" thickTop="1" x14ac:dyDescent="0.25">
      <c r="A34" s="20">
        <f>A33/B33</f>
        <v>0</v>
      </c>
      <c r="B34" s="21"/>
      <c r="C34" s="1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70C0"/>
  </sheetPr>
  <dimension ref="A1:G11"/>
  <sheetViews>
    <sheetView workbookViewId="0">
      <selection activeCell="L23" sqref="L23"/>
    </sheetView>
  </sheetViews>
  <sheetFormatPr defaultRowHeight="15" x14ac:dyDescent="0.25"/>
  <cols>
    <col min="2" max="2" width="9.7109375" bestFit="1" customWidth="1"/>
  </cols>
  <sheetData>
    <row r="1" spans="1:7" x14ac:dyDescent="0.25">
      <c r="A1" s="27" t="s">
        <v>0</v>
      </c>
      <c r="B1" s="27"/>
      <c r="C1" s="27" t="s">
        <v>1</v>
      </c>
      <c r="D1" s="27"/>
      <c r="E1" s="27"/>
      <c r="F1" s="27"/>
      <c r="G1" s="27"/>
    </row>
    <row r="2" spans="1:7" x14ac:dyDescent="0.25">
      <c r="A2" s="1" t="s">
        <v>2</v>
      </c>
      <c r="B2" s="1" t="s">
        <v>3</v>
      </c>
      <c r="C2" s="1" t="s">
        <v>4</v>
      </c>
      <c r="D2" s="1" t="s">
        <v>5</v>
      </c>
      <c r="E2" s="1" t="s">
        <v>6</v>
      </c>
      <c r="F2" s="1" t="s">
        <v>7</v>
      </c>
      <c r="G2" s="1" t="s">
        <v>8</v>
      </c>
    </row>
    <row r="3" spans="1:7" x14ac:dyDescent="0.25">
      <c r="A3" s="2" t="s">
        <v>9</v>
      </c>
      <c r="B3" s="2" t="s">
        <v>10</v>
      </c>
      <c r="C3" s="3">
        <v>0.79</v>
      </c>
      <c r="D3" s="3">
        <v>0.49</v>
      </c>
      <c r="E3" s="3">
        <v>0.88</v>
      </c>
      <c r="F3" s="3">
        <v>0.69</v>
      </c>
      <c r="G3" s="3">
        <v>0.54</v>
      </c>
    </row>
    <row r="4" spans="1:7" x14ac:dyDescent="0.25">
      <c r="A4" s="2" t="s">
        <v>77</v>
      </c>
      <c r="B4" s="2" t="s">
        <v>78</v>
      </c>
      <c r="C4" s="3">
        <v>0.63</v>
      </c>
      <c r="D4" s="3">
        <v>0.85</v>
      </c>
      <c r="E4" s="3">
        <v>0.74</v>
      </c>
      <c r="F4" s="3">
        <v>0.47</v>
      </c>
      <c r="G4" s="3">
        <v>0.53</v>
      </c>
    </row>
    <row r="5" spans="1:7" x14ac:dyDescent="0.25">
      <c r="A5" s="2" t="s">
        <v>11</v>
      </c>
      <c r="B5" s="2" t="s">
        <v>12</v>
      </c>
      <c r="C5" s="3">
        <v>0.87</v>
      </c>
      <c r="D5" s="3">
        <v>0.69</v>
      </c>
      <c r="E5" s="3">
        <v>0.78</v>
      </c>
      <c r="F5" s="3">
        <v>0.95</v>
      </c>
      <c r="G5" s="3">
        <v>0.52</v>
      </c>
    </row>
    <row r="6" spans="1:7" x14ac:dyDescent="0.25">
      <c r="A6" s="2" t="s">
        <v>13</v>
      </c>
      <c r="B6" s="2" t="s">
        <v>14</v>
      </c>
      <c r="C6" s="3">
        <v>0.44</v>
      </c>
      <c r="D6" s="3">
        <v>0.94</v>
      </c>
      <c r="E6" s="3">
        <v>0.8</v>
      </c>
      <c r="F6" s="3">
        <v>0.88</v>
      </c>
      <c r="G6" s="3">
        <v>0.49</v>
      </c>
    </row>
    <row r="7" spans="1:7" x14ac:dyDescent="0.25">
      <c r="A7" s="2" t="s">
        <v>15</v>
      </c>
      <c r="B7" s="2" t="s">
        <v>16</v>
      </c>
      <c r="C7" s="3">
        <v>1</v>
      </c>
      <c r="D7" s="3">
        <v>0.9</v>
      </c>
      <c r="E7" s="3">
        <v>0.66</v>
      </c>
      <c r="F7" s="3">
        <v>0.62</v>
      </c>
      <c r="G7" s="3">
        <v>0.62</v>
      </c>
    </row>
    <row r="8" spans="1:7" x14ac:dyDescent="0.25">
      <c r="A8" s="2" t="s">
        <v>17</v>
      </c>
      <c r="B8" s="2" t="s">
        <v>18</v>
      </c>
      <c r="C8" s="3">
        <v>0.89</v>
      </c>
      <c r="D8" s="3">
        <v>0.96</v>
      </c>
      <c r="E8" s="3">
        <v>0.92</v>
      </c>
      <c r="F8" s="3">
        <v>0.51</v>
      </c>
      <c r="G8" s="3">
        <v>0.81</v>
      </c>
    </row>
    <row r="9" spans="1:7" x14ac:dyDescent="0.25">
      <c r="A9" s="2" t="s">
        <v>19</v>
      </c>
      <c r="B9" s="2" t="s">
        <v>12</v>
      </c>
      <c r="C9" s="3">
        <v>0.83</v>
      </c>
      <c r="D9" s="3">
        <v>0.4</v>
      </c>
      <c r="E9" s="3">
        <v>0.6</v>
      </c>
      <c r="F9" s="3">
        <v>0.79</v>
      </c>
      <c r="G9" s="3">
        <v>0.59</v>
      </c>
    </row>
    <row r="10" spans="1:7" x14ac:dyDescent="0.25">
      <c r="A10" s="2" t="s">
        <v>109</v>
      </c>
      <c r="B10" s="2" t="s">
        <v>76</v>
      </c>
      <c r="C10" s="3">
        <v>0.49</v>
      </c>
      <c r="D10" s="3">
        <v>0.63</v>
      </c>
      <c r="E10" s="3">
        <v>0.71</v>
      </c>
      <c r="F10" s="3">
        <v>0.56000000000000005</v>
      </c>
      <c r="G10" s="3">
        <v>0.83</v>
      </c>
    </row>
    <row r="11" spans="1:7" x14ac:dyDescent="0.25">
      <c r="A11" s="2" t="s">
        <v>20</v>
      </c>
      <c r="B11" s="2" t="s">
        <v>21</v>
      </c>
      <c r="C11" s="3">
        <v>0.53</v>
      </c>
      <c r="D11" s="3">
        <v>0.73</v>
      </c>
      <c r="E11" s="3">
        <v>1</v>
      </c>
      <c r="F11" s="3">
        <v>0.88</v>
      </c>
      <c r="G11" s="3">
        <v>0.77</v>
      </c>
    </row>
  </sheetData>
  <mergeCells count="2">
    <mergeCell ref="A1:B1"/>
    <mergeCell ref="C1:G1"/>
  </mergeCells>
  <dataValidations count="1">
    <dataValidation type="decimal" allowBlank="1" showInputMessage="1" showErrorMessage="1" error="Grade must be a decimal place between 0% and 100%" prompt="Enter student grade" sqref="C3:G11" xr:uid="{CD05B902-2055-4DEA-9CD7-F78C6CD3C204}">
      <formula1>0</formula1>
      <formula2>1</formula2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BDD445A9-5880-4F42-A7DE-960945D60D04}">
            <x14:iconSet iconSet="4TrafficLights" custom="1">
              <x14:cfvo type="percent">
                <xm:f>0</xm:f>
              </x14:cfvo>
              <x14:cfvo type="num" gte="0">
                <xm:f>0.5</xm:f>
              </x14:cfvo>
              <x14:cfvo type="num">
                <xm:f>0.6</xm:f>
              </x14:cfvo>
              <x14:cfvo type="num">
                <xm:f>0.85</xm:f>
              </x14:cfvo>
              <x14:cfIcon iconSet="3TrafficLights1" iconId="0"/>
              <x14:cfIcon iconSet="3TrafficLights1" iconId="1"/>
              <x14:cfIcon iconSet="4RedToBlack" iconId="1"/>
              <x14:cfIcon iconSet="3TrafficLights1" iconId="2"/>
            </x14:iconSet>
          </x14:cfRule>
          <xm:sqref>C3:G11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C00000"/>
  </sheetPr>
  <dimension ref="A1:E13"/>
  <sheetViews>
    <sheetView workbookViewId="0">
      <selection activeCell="G8" sqref="G8"/>
    </sheetView>
  </sheetViews>
  <sheetFormatPr defaultRowHeight="15" x14ac:dyDescent="0.25"/>
  <cols>
    <col min="1" max="1" width="5.140625" bestFit="1" customWidth="1"/>
    <col min="2" max="3" width="22.28515625" bestFit="1" customWidth="1"/>
    <col min="4" max="4" width="26.42578125" bestFit="1" customWidth="1"/>
    <col min="5" max="5" width="15.7109375" bestFit="1" customWidth="1"/>
  </cols>
  <sheetData>
    <row r="1" spans="1:5" ht="19.5" x14ac:dyDescent="0.3">
      <c r="A1" s="28" t="s">
        <v>22</v>
      </c>
      <c r="B1" s="28"/>
      <c r="C1" s="28"/>
      <c r="D1" s="28"/>
    </row>
    <row r="2" spans="1:5" x14ac:dyDescent="0.25">
      <c r="A2" t="s">
        <v>114</v>
      </c>
      <c r="B2" t="s">
        <v>115</v>
      </c>
      <c r="C2" t="s">
        <v>116</v>
      </c>
      <c r="D2" t="s">
        <v>117</v>
      </c>
      <c r="E2" t="s">
        <v>118</v>
      </c>
    </row>
    <row r="3" spans="1:5" x14ac:dyDescent="0.25">
      <c r="A3">
        <v>1</v>
      </c>
      <c r="B3" s="24" t="s">
        <v>119</v>
      </c>
      <c r="C3" s="24" t="s">
        <v>120</v>
      </c>
      <c r="D3" s="24" t="s">
        <v>119</v>
      </c>
      <c r="E3" s="24" t="s">
        <v>121</v>
      </c>
    </row>
    <row r="4" spans="1:5" x14ac:dyDescent="0.25">
      <c r="A4">
        <v>2</v>
      </c>
      <c r="B4" s="24" t="s">
        <v>122</v>
      </c>
      <c r="C4" s="24" t="s">
        <v>123</v>
      </c>
      <c r="D4" s="24" t="s">
        <v>124</v>
      </c>
      <c r="E4" s="24" t="s">
        <v>125</v>
      </c>
    </row>
    <row r="5" spans="1:5" x14ac:dyDescent="0.25">
      <c r="A5">
        <v>3</v>
      </c>
      <c r="B5" s="24" t="s">
        <v>126</v>
      </c>
      <c r="C5" s="24" t="s">
        <v>127</v>
      </c>
      <c r="D5" s="24" t="s">
        <v>128</v>
      </c>
      <c r="E5" s="24" t="s">
        <v>129</v>
      </c>
    </row>
    <row r="6" spans="1:5" x14ac:dyDescent="0.25">
      <c r="A6">
        <v>4</v>
      </c>
      <c r="B6" s="24" t="s">
        <v>130</v>
      </c>
      <c r="C6" s="24" t="s">
        <v>131</v>
      </c>
      <c r="D6" s="24" t="s">
        <v>130</v>
      </c>
      <c r="E6" s="24" t="s">
        <v>132</v>
      </c>
    </row>
    <row r="7" spans="1:5" x14ac:dyDescent="0.25">
      <c r="A7">
        <v>5</v>
      </c>
      <c r="B7" s="24" t="s">
        <v>133</v>
      </c>
      <c r="C7" s="24" t="s">
        <v>134</v>
      </c>
      <c r="D7" s="24" t="s">
        <v>134</v>
      </c>
      <c r="E7" s="24" t="s">
        <v>135</v>
      </c>
    </row>
    <row r="8" spans="1:5" x14ac:dyDescent="0.25">
      <c r="A8">
        <v>6</v>
      </c>
      <c r="B8" s="24" t="s">
        <v>136</v>
      </c>
      <c r="C8" s="24" t="s">
        <v>137</v>
      </c>
      <c r="D8" s="24" t="s">
        <v>138</v>
      </c>
      <c r="E8" s="24" t="s">
        <v>135</v>
      </c>
    </row>
    <row r="9" spans="1:5" x14ac:dyDescent="0.25">
      <c r="A9">
        <v>7</v>
      </c>
      <c r="B9" s="24" t="s">
        <v>139</v>
      </c>
      <c r="C9" s="24" t="s">
        <v>120</v>
      </c>
      <c r="D9" s="24" t="s">
        <v>140</v>
      </c>
      <c r="E9" s="24" t="s">
        <v>121</v>
      </c>
    </row>
    <row r="10" spans="1:5" x14ac:dyDescent="0.25">
      <c r="A10">
        <v>8</v>
      </c>
      <c r="B10" s="24" t="s">
        <v>141</v>
      </c>
      <c r="C10" s="24" t="s">
        <v>131</v>
      </c>
      <c r="D10" s="24" t="s">
        <v>142</v>
      </c>
      <c r="E10" s="24" t="s">
        <v>132</v>
      </c>
    </row>
    <row r="11" spans="1:5" x14ac:dyDescent="0.25">
      <c r="A11">
        <v>9</v>
      </c>
      <c r="B11" s="24" t="s">
        <v>143</v>
      </c>
      <c r="C11" s="24" t="s">
        <v>144</v>
      </c>
      <c r="D11" s="24" t="s">
        <v>145</v>
      </c>
      <c r="E11" s="24" t="s">
        <v>135</v>
      </c>
    </row>
    <row r="12" spans="1:5" x14ac:dyDescent="0.25">
      <c r="A12">
        <v>10</v>
      </c>
      <c r="B12" s="24" t="s">
        <v>146</v>
      </c>
      <c r="C12" s="24" t="s">
        <v>147</v>
      </c>
      <c r="D12" s="24" t="s">
        <v>146</v>
      </c>
      <c r="E12" s="24" t="s">
        <v>148</v>
      </c>
    </row>
    <row r="13" spans="1:5" x14ac:dyDescent="0.25">
      <c r="A13">
        <v>11</v>
      </c>
      <c r="B13" s="24" t="s">
        <v>149</v>
      </c>
      <c r="C13" s="24" t="s">
        <v>150</v>
      </c>
      <c r="D13" s="24" t="s">
        <v>151</v>
      </c>
      <c r="E13" s="24" t="s">
        <v>152</v>
      </c>
    </row>
  </sheetData>
  <mergeCells count="1">
    <mergeCell ref="A1:D1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FFC000"/>
  </sheetPr>
  <dimension ref="A1:D11"/>
  <sheetViews>
    <sheetView workbookViewId="0">
      <selection activeCell="G8" sqref="G8"/>
    </sheetView>
  </sheetViews>
  <sheetFormatPr defaultRowHeight="15" x14ac:dyDescent="0.25"/>
  <cols>
    <col min="1" max="1" width="52.140625" customWidth="1"/>
    <col min="2" max="4" width="11.7109375" customWidth="1"/>
  </cols>
  <sheetData>
    <row r="1" spans="1:4" ht="23.25" x14ac:dyDescent="0.35">
      <c r="A1" s="31" t="s">
        <v>23</v>
      </c>
      <c r="B1" s="31"/>
      <c r="C1" s="31"/>
      <c r="D1" s="31"/>
    </row>
    <row r="2" spans="1:4" x14ac:dyDescent="0.25">
      <c r="A2" s="29" t="s">
        <v>36</v>
      </c>
      <c r="B2" s="29"/>
      <c r="C2" s="29"/>
      <c r="D2" s="29"/>
    </row>
    <row r="3" spans="1:4" ht="18.75" x14ac:dyDescent="0.3">
      <c r="A3" s="30" t="s">
        <v>24</v>
      </c>
      <c r="B3" s="30"/>
      <c r="C3" s="30"/>
      <c r="D3" s="30"/>
    </row>
    <row r="4" spans="1:4" ht="15.75" thickBot="1" x14ac:dyDescent="0.3">
      <c r="A4" s="4" t="s">
        <v>25</v>
      </c>
      <c r="B4" s="4" t="s">
        <v>26</v>
      </c>
      <c r="C4" s="4" t="s">
        <v>27</v>
      </c>
      <c r="D4" s="4" t="s">
        <v>28</v>
      </c>
    </row>
    <row r="5" spans="1:4" x14ac:dyDescent="0.25">
      <c r="A5" t="s">
        <v>29</v>
      </c>
      <c r="B5" s="5">
        <v>367</v>
      </c>
      <c r="C5" s="5">
        <v>290</v>
      </c>
      <c r="D5" s="5">
        <v>0</v>
      </c>
    </row>
    <row r="6" spans="1:4" x14ac:dyDescent="0.25">
      <c r="A6" t="s">
        <v>30</v>
      </c>
      <c r="B6" s="6">
        <v>3589</v>
      </c>
      <c r="C6" s="6">
        <v>5735</v>
      </c>
      <c r="D6" s="6">
        <v>7336</v>
      </c>
    </row>
    <row r="7" spans="1:4" x14ac:dyDescent="0.25">
      <c r="A7" t="s">
        <v>31</v>
      </c>
      <c r="B7" s="6">
        <v>7345</v>
      </c>
      <c r="C7" s="6">
        <v>5890</v>
      </c>
      <c r="D7" s="6">
        <v>19564</v>
      </c>
    </row>
    <row r="8" spans="1:4" x14ac:dyDescent="0.25">
      <c r="A8" t="s">
        <v>32</v>
      </c>
      <c r="B8" s="6">
        <v>1239</v>
      </c>
      <c r="C8" s="6">
        <v>967</v>
      </c>
      <c r="D8" s="6">
        <v>245</v>
      </c>
    </row>
    <row r="9" spans="1:4" x14ac:dyDescent="0.25">
      <c r="A9" t="s">
        <v>33</v>
      </c>
      <c r="B9" s="6">
        <v>17634</v>
      </c>
      <c r="C9" s="6">
        <v>35765</v>
      </c>
      <c r="D9" s="6">
        <v>63678</v>
      </c>
    </row>
    <row r="10" spans="1:4" x14ac:dyDescent="0.25">
      <c r="A10" t="s">
        <v>34</v>
      </c>
      <c r="B10" s="6">
        <v>9534</v>
      </c>
      <c r="C10" s="6">
        <v>6745</v>
      </c>
      <c r="D10" s="6">
        <v>8795</v>
      </c>
    </row>
    <row r="11" spans="1:4" x14ac:dyDescent="0.25">
      <c r="A11" s="25" t="s">
        <v>35</v>
      </c>
      <c r="B11" s="26">
        <f>SUM(B5:B10)</f>
        <v>39708</v>
      </c>
      <c r="C11" s="26">
        <f t="shared" ref="C11:D11" si="0">SUM(C5:C10)</f>
        <v>55392</v>
      </c>
      <c r="D11" s="26">
        <f t="shared" si="0"/>
        <v>99618</v>
      </c>
    </row>
  </sheetData>
  <mergeCells count="3">
    <mergeCell ref="A2:D2"/>
    <mergeCell ref="A3:D3"/>
    <mergeCell ref="A1:D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D11"/>
  <sheetViews>
    <sheetView workbookViewId="0">
      <selection activeCell="C21" sqref="C21"/>
    </sheetView>
  </sheetViews>
  <sheetFormatPr defaultRowHeight="15" x14ac:dyDescent="0.25"/>
  <cols>
    <col min="1" max="1" width="52.140625" customWidth="1"/>
    <col min="2" max="4" width="11.7109375" customWidth="1"/>
  </cols>
  <sheetData>
    <row r="1" spans="1:4" ht="23.25" x14ac:dyDescent="0.35">
      <c r="A1" s="31" t="s">
        <v>23</v>
      </c>
      <c r="B1" s="31"/>
      <c r="C1" s="31"/>
      <c r="D1" s="31"/>
    </row>
    <row r="2" spans="1:4" x14ac:dyDescent="0.25">
      <c r="A2" s="29" t="s">
        <v>36</v>
      </c>
      <c r="B2" s="29"/>
      <c r="C2" s="29"/>
      <c r="D2" s="29"/>
    </row>
    <row r="3" spans="1:4" ht="18.75" x14ac:dyDescent="0.3">
      <c r="A3" s="30" t="s">
        <v>24</v>
      </c>
      <c r="B3" s="30"/>
      <c r="C3" s="30"/>
      <c r="D3" s="30"/>
    </row>
    <row r="4" spans="1:4" ht="15.75" thickBot="1" x14ac:dyDescent="0.3">
      <c r="A4" s="4" t="s">
        <v>25</v>
      </c>
      <c r="B4" s="4" t="s">
        <v>26</v>
      </c>
      <c r="C4" s="4" t="s">
        <v>27</v>
      </c>
      <c r="D4" s="4" t="s">
        <v>28</v>
      </c>
    </row>
    <row r="5" spans="1:4" x14ac:dyDescent="0.25">
      <c r="A5" t="s">
        <v>29</v>
      </c>
      <c r="B5" s="5">
        <v>367</v>
      </c>
      <c r="C5" s="5">
        <v>290</v>
      </c>
      <c r="D5" s="5">
        <v>0</v>
      </c>
    </row>
    <row r="6" spans="1:4" x14ac:dyDescent="0.25">
      <c r="A6" t="s">
        <v>30</v>
      </c>
      <c r="B6" s="6">
        <v>3589</v>
      </c>
      <c r="C6" s="6">
        <v>5735</v>
      </c>
      <c r="D6" s="6">
        <v>7336</v>
      </c>
    </row>
    <row r="7" spans="1:4" x14ac:dyDescent="0.25">
      <c r="A7" t="s">
        <v>31</v>
      </c>
      <c r="B7" s="6">
        <v>7345</v>
      </c>
      <c r="C7" s="6">
        <v>5890</v>
      </c>
      <c r="D7" s="6">
        <v>19564</v>
      </c>
    </row>
    <row r="8" spans="1:4" x14ac:dyDescent="0.25">
      <c r="A8" t="s">
        <v>32</v>
      </c>
      <c r="B8" s="6">
        <v>1239</v>
      </c>
      <c r="C8" s="6">
        <v>967</v>
      </c>
      <c r="D8" s="6">
        <v>245</v>
      </c>
    </row>
    <row r="9" spans="1:4" x14ac:dyDescent="0.25">
      <c r="A9" t="s">
        <v>33</v>
      </c>
      <c r="B9" s="6">
        <v>17634</v>
      </c>
      <c r="C9" s="6">
        <v>35765</v>
      </c>
      <c r="D9" s="6">
        <v>63678</v>
      </c>
    </row>
    <row r="10" spans="1:4" x14ac:dyDescent="0.25">
      <c r="A10" t="s">
        <v>34</v>
      </c>
      <c r="B10" s="6">
        <v>9534</v>
      </c>
      <c r="C10" s="6">
        <v>6745</v>
      </c>
      <c r="D10" s="6">
        <v>8795</v>
      </c>
    </row>
    <row r="11" spans="1:4" x14ac:dyDescent="0.25">
      <c r="A11" s="25" t="s">
        <v>35</v>
      </c>
      <c r="B11" s="26">
        <f>SUM(B5:B10)</f>
        <v>39708</v>
      </c>
      <c r="C11" s="26">
        <f t="shared" ref="C11:D11" si="0">SUM(C5:C10)</f>
        <v>55392</v>
      </c>
      <c r="D11" s="26">
        <f t="shared" si="0"/>
        <v>99618</v>
      </c>
    </row>
  </sheetData>
  <mergeCells count="3">
    <mergeCell ref="A2:D2"/>
    <mergeCell ref="A3:D3"/>
    <mergeCell ref="A1:D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92D050"/>
    <outlinePr showOutlineSymbols="0"/>
  </sheetPr>
  <dimension ref="A1:E39"/>
  <sheetViews>
    <sheetView showOutlineSymbols="0" topLeftCell="A2" workbookViewId="0">
      <selection activeCell="A39" sqref="A39"/>
    </sheetView>
  </sheetViews>
  <sheetFormatPr defaultRowHeight="15" outlineLevelRow="2" x14ac:dyDescent="0.25"/>
  <cols>
    <col min="1" max="1" width="13.85546875" bestFit="1" customWidth="1"/>
    <col min="2" max="2" width="18.140625" bestFit="1" customWidth="1"/>
    <col min="3" max="3" width="4.140625" bestFit="1" customWidth="1"/>
    <col min="4" max="5" width="8" bestFit="1" customWidth="1"/>
  </cols>
  <sheetData>
    <row r="1" spans="1:5" x14ac:dyDescent="0.25">
      <c r="A1" s="32" t="s">
        <v>37</v>
      </c>
      <c r="B1" s="32"/>
      <c r="C1" s="32"/>
      <c r="D1" s="32"/>
      <c r="E1" s="32"/>
    </row>
    <row r="2" spans="1:5" x14ac:dyDescent="0.25">
      <c r="A2" s="8" t="s">
        <v>38</v>
      </c>
      <c r="B2" s="8" t="s">
        <v>39</v>
      </c>
      <c r="C2" s="8" t="s">
        <v>40</v>
      </c>
      <c r="D2" s="8" t="s">
        <v>41</v>
      </c>
      <c r="E2" s="8" t="s">
        <v>35</v>
      </c>
    </row>
    <row r="3" spans="1:5" hidden="1" outlineLevel="2" x14ac:dyDescent="0.25">
      <c r="A3" t="s">
        <v>90</v>
      </c>
      <c r="B3" t="s">
        <v>71</v>
      </c>
      <c r="C3">
        <v>1</v>
      </c>
      <c r="D3" s="5">
        <v>25</v>
      </c>
      <c r="E3" s="9">
        <f>C3*D3</f>
        <v>25</v>
      </c>
    </row>
    <row r="4" spans="1:5" hidden="1" outlineLevel="2" x14ac:dyDescent="0.25">
      <c r="A4" t="s">
        <v>90</v>
      </c>
      <c r="B4" t="s">
        <v>68</v>
      </c>
      <c r="C4">
        <v>5</v>
      </c>
      <c r="D4" s="5">
        <v>15</v>
      </c>
      <c r="E4" s="9">
        <f>C4*D4</f>
        <v>75</v>
      </c>
    </row>
    <row r="5" spans="1:5" hidden="1" outlineLevel="2" x14ac:dyDescent="0.25">
      <c r="A5" t="s">
        <v>90</v>
      </c>
      <c r="B5" t="s">
        <v>70</v>
      </c>
      <c r="C5">
        <v>1</v>
      </c>
      <c r="D5" s="5">
        <v>10</v>
      </c>
      <c r="E5" s="9">
        <f>C5*D5</f>
        <v>10</v>
      </c>
    </row>
    <row r="6" spans="1:5" hidden="1" outlineLevel="2" x14ac:dyDescent="0.25">
      <c r="A6" t="s">
        <v>90</v>
      </c>
      <c r="B6" t="s">
        <v>69</v>
      </c>
      <c r="C6">
        <v>1</v>
      </c>
      <c r="D6" s="5">
        <v>50</v>
      </c>
      <c r="E6" s="9">
        <f>C6*D6</f>
        <v>50</v>
      </c>
    </row>
    <row r="7" spans="1:5" outlineLevel="1" collapsed="1" x14ac:dyDescent="0.25">
      <c r="A7" s="7" t="s">
        <v>153</v>
      </c>
      <c r="C7">
        <f>SUBTOTAL(9,C3:C6)</f>
        <v>8</v>
      </c>
      <c r="D7" s="5"/>
      <c r="E7" s="9">
        <f>SUBTOTAL(9,E3:E6)</f>
        <v>160</v>
      </c>
    </row>
    <row r="8" spans="1:5" hidden="1" outlineLevel="2" x14ac:dyDescent="0.25">
      <c r="A8" t="s">
        <v>62</v>
      </c>
      <c r="B8" t="s">
        <v>63</v>
      </c>
      <c r="C8">
        <v>1</v>
      </c>
      <c r="D8" s="5">
        <v>1000</v>
      </c>
      <c r="E8" s="9">
        <f>C8*D8</f>
        <v>1000</v>
      </c>
    </row>
    <row r="9" spans="1:5" hidden="1" outlineLevel="2" x14ac:dyDescent="0.25">
      <c r="A9" t="s">
        <v>62</v>
      </c>
      <c r="B9" t="s">
        <v>67</v>
      </c>
      <c r="C9">
        <v>1</v>
      </c>
      <c r="D9" s="5">
        <v>12</v>
      </c>
      <c r="E9" s="9">
        <f>C9*D9</f>
        <v>12</v>
      </c>
    </row>
    <row r="10" spans="1:5" hidden="1" outlineLevel="2" x14ac:dyDescent="0.25">
      <c r="A10" t="s">
        <v>62</v>
      </c>
      <c r="B10" t="s">
        <v>65</v>
      </c>
      <c r="C10">
        <v>1</v>
      </c>
      <c r="D10" s="5">
        <v>475</v>
      </c>
      <c r="E10" s="9">
        <f>C10*D10</f>
        <v>475</v>
      </c>
    </row>
    <row r="11" spans="1:5" hidden="1" outlineLevel="2" x14ac:dyDescent="0.25">
      <c r="A11" t="s">
        <v>62</v>
      </c>
      <c r="B11" t="s">
        <v>64</v>
      </c>
      <c r="C11">
        <v>1</v>
      </c>
      <c r="D11" s="5">
        <v>200</v>
      </c>
      <c r="E11" s="9">
        <f>C11*D11</f>
        <v>200</v>
      </c>
    </row>
    <row r="12" spans="1:5" hidden="1" outlineLevel="2" x14ac:dyDescent="0.25">
      <c r="A12" t="s">
        <v>62</v>
      </c>
      <c r="B12" t="s">
        <v>66</v>
      </c>
      <c r="C12">
        <v>1</v>
      </c>
      <c r="D12" s="5">
        <v>15</v>
      </c>
      <c r="E12" s="9">
        <f>C12*D12</f>
        <v>15</v>
      </c>
    </row>
    <row r="13" spans="1:5" outlineLevel="1" collapsed="1" x14ac:dyDescent="0.25">
      <c r="A13" s="7" t="s">
        <v>154</v>
      </c>
      <c r="C13">
        <f>SUBTOTAL(9,C8:C12)</f>
        <v>5</v>
      </c>
      <c r="D13" s="5"/>
      <c r="E13" s="9">
        <f>SUBTOTAL(9,E8:E12)</f>
        <v>1702</v>
      </c>
    </row>
    <row r="14" spans="1:5" hidden="1" outlineLevel="2" x14ac:dyDescent="0.25">
      <c r="A14" t="s">
        <v>42</v>
      </c>
      <c r="B14" t="s">
        <v>53</v>
      </c>
      <c r="C14">
        <v>4</v>
      </c>
      <c r="D14" s="5">
        <v>50</v>
      </c>
      <c r="E14" s="9">
        <f t="shared" ref="E14:E24" si="0">C14*D14</f>
        <v>200</v>
      </c>
    </row>
    <row r="15" spans="1:5" hidden="1" outlineLevel="2" x14ac:dyDescent="0.25">
      <c r="A15" t="s">
        <v>42</v>
      </c>
      <c r="B15" t="s">
        <v>47</v>
      </c>
      <c r="C15">
        <v>4</v>
      </c>
      <c r="D15" s="5">
        <v>2</v>
      </c>
      <c r="E15" s="9">
        <f t="shared" si="0"/>
        <v>8</v>
      </c>
    </row>
    <row r="16" spans="1:5" hidden="1" outlineLevel="2" x14ac:dyDescent="0.25">
      <c r="A16" t="s">
        <v>42</v>
      </c>
      <c r="B16" t="s">
        <v>43</v>
      </c>
      <c r="C16">
        <v>1</v>
      </c>
      <c r="D16" s="5">
        <v>25</v>
      </c>
      <c r="E16" s="9">
        <f t="shared" si="0"/>
        <v>25</v>
      </c>
    </row>
    <row r="17" spans="1:5" hidden="1" outlineLevel="2" x14ac:dyDescent="0.25">
      <c r="A17" t="s">
        <v>42</v>
      </c>
      <c r="B17" t="s">
        <v>45</v>
      </c>
      <c r="C17">
        <v>1</v>
      </c>
      <c r="D17" s="5">
        <v>20</v>
      </c>
      <c r="E17" s="9">
        <f t="shared" si="0"/>
        <v>20</v>
      </c>
    </row>
    <row r="18" spans="1:5" hidden="1" outlineLevel="2" x14ac:dyDescent="0.25">
      <c r="A18" t="s">
        <v>42</v>
      </c>
      <c r="B18" t="s">
        <v>49</v>
      </c>
      <c r="C18">
        <v>4</v>
      </c>
      <c r="D18" s="5">
        <v>2</v>
      </c>
      <c r="E18" s="9">
        <f t="shared" si="0"/>
        <v>8</v>
      </c>
    </row>
    <row r="19" spans="1:5" hidden="1" outlineLevel="2" x14ac:dyDescent="0.25">
      <c r="A19" t="s">
        <v>42</v>
      </c>
      <c r="B19" t="s">
        <v>51</v>
      </c>
      <c r="C19">
        <v>1</v>
      </c>
      <c r="D19" s="5">
        <v>500</v>
      </c>
      <c r="E19" s="9">
        <f t="shared" si="0"/>
        <v>500</v>
      </c>
    </row>
    <row r="20" spans="1:5" hidden="1" outlineLevel="2" x14ac:dyDescent="0.25">
      <c r="A20" t="s">
        <v>42</v>
      </c>
      <c r="B20" t="s">
        <v>48</v>
      </c>
      <c r="C20">
        <v>4</v>
      </c>
      <c r="D20" s="5">
        <v>3</v>
      </c>
      <c r="E20" s="9">
        <f t="shared" si="0"/>
        <v>12</v>
      </c>
    </row>
    <row r="21" spans="1:5" hidden="1" outlineLevel="2" x14ac:dyDescent="0.25">
      <c r="A21" t="s">
        <v>42</v>
      </c>
      <c r="B21" t="s">
        <v>46</v>
      </c>
      <c r="C21">
        <v>1</v>
      </c>
      <c r="D21" s="5">
        <v>100</v>
      </c>
      <c r="E21" s="9">
        <f t="shared" si="0"/>
        <v>100</v>
      </c>
    </row>
    <row r="22" spans="1:5" hidden="1" outlineLevel="2" x14ac:dyDescent="0.25">
      <c r="A22" t="s">
        <v>42</v>
      </c>
      <c r="B22" t="s">
        <v>50</v>
      </c>
      <c r="C22">
        <v>1</v>
      </c>
      <c r="D22" s="5">
        <v>700</v>
      </c>
      <c r="E22" s="9">
        <f t="shared" si="0"/>
        <v>700</v>
      </c>
    </row>
    <row r="23" spans="1:5" hidden="1" outlineLevel="2" x14ac:dyDescent="0.25">
      <c r="A23" t="s">
        <v>42</v>
      </c>
      <c r="B23" t="s">
        <v>52</v>
      </c>
      <c r="C23">
        <v>1</v>
      </c>
      <c r="D23" s="5">
        <v>200</v>
      </c>
      <c r="E23" s="9">
        <f t="shared" si="0"/>
        <v>200</v>
      </c>
    </row>
    <row r="24" spans="1:5" hidden="1" outlineLevel="2" x14ac:dyDescent="0.25">
      <c r="A24" t="s">
        <v>42</v>
      </c>
      <c r="B24" t="s">
        <v>44</v>
      </c>
      <c r="C24">
        <v>2</v>
      </c>
      <c r="D24" s="5">
        <v>15</v>
      </c>
      <c r="E24" s="9">
        <f t="shared" si="0"/>
        <v>30</v>
      </c>
    </row>
    <row r="25" spans="1:5" outlineLevel="1" collapsed="1" x14ac:dyDescent="0.25">
      <c r="A25" s="7" t="s">
        <v>155</v>
      </c>
      <c r="C25">
        <f>SUBTOTAL(9,C14:C24)</f>
        <v>24</v>
      </c>
      <c r="D25" s="5"/>
      <c r="E25" s="9">
        <f>SUBTOTAL(9,E14:E24)</f>
        <v>1803</v>
      </c>
    </row>
    <row r="26" spans="1:5" hidden="1" outlineLevel="2" x14ac:dyDescent="0.25">
      <c r="A26" t="s">
        <v>54</v>
      </c>
      <c r="B26" t="s">
        <v>53</v>
      </c>
      <c r="C26">
        <v>2</v>
      </c>
      <c r="D26" s="5">
        <v>75</v>
      </c>
      <c r="E26" s="9">
        <f t="shared" ref="E26:E33" si="1">C26*D26</f>
        <v>150</v>
      </c>
    </row>
    <row r="27" spans="1:5" hidden="1" outlineLevel="2" x14ac:dyDescent="0.25">
      <c r="A27" t="s">
        <v>54</v>
      </c>
      <c r="B27" t="s">
        <v>55</v>
      </c>
      <c r="C27">
        <v>1</v>
      </c>
      <c r="D27" s="5">
        <v>300</v>
      </c>
      <c r="E27" s="9">
        <f t="shared" si="1"/>
        <v>300</v>
      </c>
    </row>
    <row r="28" spans="1:5" hidden="1" outlineLevel="2" x14ac:dyDescent="0.25">
      <c r="A28" t="s">
        <v>54</v>
      </c>
      <c r="B28" t="s">
        <v>56</v>
      </c>
      <c r="C28">
        <v>2</v>
      </c>
      <c r="D28" s="5">
        <v>85</v>
      </c>
      <c r="E28" s="9">
        <f t="shared" si="1"/>
        <v>170</v>
      </c>
    </row>
    <row r="29" spans="1:5" hidden="1" outlineLevel="2" x14ac:dyDescent="0.25">
      <c r="A29" t="s">
        <v>54</v>
      </c>
      <c r="B29" t="s">
        <v>57</v>
      </c>
      <c r="C29">
        <v>17</v>
      </c>
      <c r="D29" s="5">
        <v>6</v>
      </c>
      <c r="E29" s="9">
        <f t="shared" si="1"/>
        <v>102</v>
      </c>
    </row>
    <row r="30" spans="1:5" hidden="1" outlineLevel="2" x14ac:dyDescent="0.25">
      <c r="A30" t="s">
        <v>54</v>
      </c>
      <c r="B30" t="s">
        <v>58</v>
      </c>
      <c r="C30">
        <v>1</v>
      </c>
      <c r="D30" s="5">
        <v>800</v>
      </c>
      <c r="E30" s="9">
        <f t="shared" si="1"/>
        <v>800</v>
      </c>
    </row>
    <row r="31" spans="1:5" hidden="1" outlineLevel="2" x14ac:dyDescent="0.25">
      <c r="A31" t="s">
        <v>54</v>
      </c>
      <c r="B31" t="s">
        <v>59</v>
      </c>
      <c r="C31">
        <v>1</v>
      </c>
      <c r="D31" s="5">
        <v>750</v>
      </c>
      <c r="E31" s="9">
        <f t="shared" si="1"/>
        <v>750</v>
      </c>
    </row>
    <row r="32" spans="1:5" hidden="1" outlineLevel="2" x14ac:dyDescent="0.25">
      <c r="A32" t="s">
        <v>54</v>
      </c>
      <c r="B32" t="s">
        <v>60</v>
      </c>
      <c r="C32">
        <v>1</v>
      </c>
      <c r="D32" s="5">
        <v>350</v>
      </c>
      <c r="E32" s="9">
        <f t="shared" si="1"/>
        <v>350</v>
      </c>
    </row>
    <row r="33" spans="1:5" hidden="1" outlineLevel="2" x14ac:dyDescent="0.25">
      <c r="A33" t="s">
        <v>54</v>
      </c>
      <c r="B33" t="s">
        <v>61</v>
      </c>
      <c r="C33">
        <v>10</v>
      </c>
      <c r="D33" s="5">
        <v>45</v>
      </c>
      <c r="E33" s="9">
        <f t="shared" si="1"/>
        <v>450</v>
      </c>
    </row>
    <row r="34" spans="1:5" outlineLevel="1" collapsed="1" x14ac:dyDescent="0.25">
      <c r="A34" s="7" t="s">
        <v>156</v>
      </c>
      <c r="C34">
        <f>SUBTOTAL(9,C26:C33)</f>
        <v>35</v>
      </c>
      <c r="D34" s="5"/>
      <c r="E34" s="9">
        <f>SUBTOTAL(9,E26:E33)</f>
        <v>3072</v>
      </c>
    </row>
    <row r="35" spans="1:5" hidden="1" outlineLevel="2" x14ac:dyDescent="0.25">
      <c r="A35" t="s">
        <v>72</v>
      </c>
      <c r="B35" t="s">
        <v>75</v>
      </c>
      <c r="C35">
        <v>25</v>
      </c>
      <c r="D35" s="5">
        <v>10</v>
      </c>
      <c r="E35" s="9">
        <f>C35*D35</f>
        <v>250</v>
      </c>
    </row>
    <row r="36" spans="1:5" hidden="1" outlineLevel="2" x14ac:dyDescent="0.25">
      <c r="A36" t="s">
        <v>72</v>
      </c>
      <c r="B36" t="s">
        <v>74</v>
      </c>
      <c r="C36">
        <v>10</v>
      </c>
      <c r="D36" s="5">
        <v>12</v>
      </c>
      <c r="E36" s="9">
        <f>C36*D36</f>
        <v>120</v>
      </c>
    </row>
    <row r="37" spans="1:5" hidden="1" outlineLevel="2" x14ac:dyDescent="0.25">
      <c r="A37" t="s">
        <v>72</v>
      </c>
      <c r="B37" t="s">
        <v>73</v>
      </c>
      <c r="C37">
        <v>1</v>
      </c>
      <c r="D37" s="5">
        <v>200</v>
      </c>
      <c r="E37" s="9">
        <f>C37*D37</f>
        <v>200</v>
      </c>
    </row>
    <row r="38" spans="1:5" outlineLevel="1" collapsed="1" x14ac:dyDescent="0.25">
      <c r="A38" s="7" t="s">
        <v>157</v>
      </c>
      <c r="C38">
        <f>SUBTOTAL(9,C35:C37)</f>
        <v>36</v>
      </c>
      <c r="D38" s="5"/>
      <c r="E38" s="9">
        <f>SUBTOTAL(9,E35:E37)</f>
        <v>570</v>
      </c>
    </row>
    <row r="39" spans="1:5" x14ac:dyDescent="0.25">
      <c r="A39" s="7" t="s">
        <v>158</v>
      </c>
      <c r="C39">
        <f>SUBTOTAL(9,C3:C37)</f>
        <v>108</v>
      </c>
      <c r="D39" s="5"/>
      <c r="E39" s="9">
        <f>SUBTOTAL(9,E3:E37)</f>
        <v>7307</v>
      </c>
    </row>
  </sheetData>
  <sortState xmlns:xlrd2="http://schemas.microsoft.com/office/spreadsheetml/2017/richdata2" ref="A3:E37">
    <sortCondition ref="A3:A37"/>
  </sortState>
  <mergeCells count="1">
    <mergeCell ref="A1:E1"/>
  </mergeCells>
  <pageMargins left="0.7" right="0.7" top="0.75" bottom="0.75" header="0.3" footer="0.3"/>
  <pageSetup orientation="portrait" r:id="rId1"/>
  <rowBreaks count="5" manualBreakCount="5">
    <brk id="7" max="16383" man="1"/>
    <brk id="13" max="16383" man="1"/>
    <brk id="25" max="16383" man="1"/>
    <brk id="34" max="16383" man="1"/>
    <brk id="39" max="16383" man="1"/>
  </row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002060"/>
  </sheetPr>
  <dimension ref="N12"/>
  <sheetViews>
    <sheetView showGridLines="0" workbookViewId="0">
      <selection activeCell="U10" sqref="U10"/>
    </sheetView>
  </sheetViews>
  <sheetFormatPr defaultRowHeight="15" x14ac:dyDescent="0.25"/>
  <sheetData>
    <row r="12" spans="14:14" x14ac:dyDescent="0.25">
      <c r="N12" s="10"/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4BDC9F3-11FD-418A-B5D8-D93EB9D9B75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Grading</vt:lpstr>
      <vt:lpstr>Student Grades</vt:lpstr>
      <vt:lpstr>Music Collection</vt:lpstr>
      <vt:lpstr>Macro</vt:lpstr>
      <vt:lpstr>Macro Test</vt:lpstr>
      <vt:lpstr>Home Inventory</vt:lpstr>
      <vt:lpstr>Gull Corporation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</dc:creator>
  <cp:lastModifiedBy>folio</cp:lastModifiedBy>
  <dcterms:created xsi:type="dcterms:W3CDTF">2020-03-09T16:31:56Z</dcterms:created>
  <dcterms:modified xsi:type="dcterms:W3CDTF">2024-01-02T04:38:39Z</dcterms:modified>
</cp:coreProperties>
</file>